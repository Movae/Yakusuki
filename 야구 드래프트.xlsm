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am\Desktop\야구 양식\"/>
    </mc:Choice>
  </mc:AlternateContent>
  <xr:revisionPtr revIDLastSave="0" documentId="13_ncr:1_{D0555D92-419A-490F-A260-A5B204A8982A}" xr6:coauthVersionLast="45" xr6:coauthVersionMax="45" xr10:uidLastSave="{00000000-0000-0000-0000-000000000000}"/>
  <bookViews>
    <workbookView xWindow="-110" yWindow="-110" windowWidth="38620" windowHeight="21220" xr2:uid="{3BC36FD5-D7E3-4FDD-96D5-D3467B0DF7DE}"/>
  </bookViews>
  <sheets>
    <sheet name="정규" sheetId="1" r:id="rId1"/>
    <sheet name="육성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8" i="2" l="1"/>
  <c r="M30" i="1"/>
  <c r="L38" i="2"/>
  <c r="L30" i="1"/>
  <c r="K38" i="2"/>
  <c r="K30" i="1"/>
  <c r="J38" i="2"/>
  <c r="J30" i="1"/>
  <c r="I38" i="2"/>
  <c r="I30" i="1"/>
  <c r="H38" i="2"/>
  <c r="H30" i="1"/>
  <c r="G38" i="2"/>
  <c r="G30" i="1"/>
  <c r="F38" i="2"/>
  <c r="F30" i="1"/>
  <c r="E38" i="2"/>
  <c r="E30" i="1"/>
  <c r="D38" i="2"/>
  <c r="D30" i="1"/>
  <c r="C38" i="2"/>
  <c r="C30" i="1"/>
  <c r="B38" i="2"/>
  <c r="B30" i="1"/>
  <c r="F4" i="2" l="1"/>
  <c r="H4" i="2"/>
  <c r="D4" i="2"/>
  <c r="J4" i="2" l="1"/>
  <c r="H4" i="1"/>
  <c r="J4" i="1"/>
  <c r="D4" i="1"/>
  <c r="F4" i="1"/>
</calcChain>
</file>

<file path=xl/sharedStrings.xml><?xml version="1.0" encoding="utf-8"?>
<sst xmlns="http://schemas.openxmlformats.org/spreadsheetml/2006/main" count="94" uniqueCount="45">
  <si>
    <t>구분</t>
  </si>
  <si>
    <t>정규(지배하)</t>
  </si>
  <si>
    <t>현재 시트 합계</t>
  </si>
  <si>
    <t>센트럴 지명</t>
  </si>
  <si>
    <t>퍼시픽 지명</t>
  </si>
  <si>
    <t>전체 총합(정규+육성)</t>
  </si>
  <si>
    <t>포지션: 투 · 포 · 내 · 외</t>
  </si>
  <si>
    <t>순위</t>
  </si>
  <si>
    <t>센트럴</t>
  </si>
  <si>
    <t>한신</t>
  </si>
  <si>
    <t>퍼시픽</t>
  </si>
  <si>
    <t>소프트뱅크</t>
  </si>
  <si>
    <t>요미우리</t>
  </si>
  <si>
    <t>세이부</t>
  </si>
  <si>
    <t>요코하마</t>
  </si>
  <si>
    <t>닛폰햄</t>
  </si>
  <si>
    <t>히로시마</t>
  </si>
  <si>
    <t>오릭스</t>
  </si>
  <si>
    <t>야쿠르트</t>
  </si>
  <si>
    <t>롯데</t>
  </si>
  <si>
    <t>주니치</t>
  </si>
  <si>
    <t>라쿠텐</t>
  </si>
  <si>
    <t>1순위
(1차)</t>
  </si>
  <si>
    <t>1순위
(외1)</t>
  </si>
  <si>
    <t>1순위
(외2)</t>
  </si>
  <si>
    <t>2순위</t>
  </si>
  <si>
    <t>3순위</t>
  </si>
  <si>
    <t>4순위</t>
  </si>
  <si>
    <t>5순위</t>
  </si>
  <si>
    <t>6순위</t>
  </si>
  <si>
    <t>7순위</t>
  </si>
  <si>
    <t>8순위</t>
  </si>
  <si>
    <t>9순위</t>
  </si>
  <si>
    <t>구단별 지명</t>
  </si>
  <si>
    <t>육성 드래프트</t>
  </si>
  <si>
    <t>1순위</t>
  </si>
  <si>
    <t>10순위</t>
  </si>
  <si>
    <t>11순위</t>
  </si>
  <si>
    <t>NPB 프로야구 드래프트 지명 명단 (육성 드래프트)</t>
    <phoneticPr fontId="1" type="noConversion"/>
  </si>
  <si>
    <t>13순위</t>
    <phoneticPr fontId="1" type="noConversion"/>
  </si>
  <si>
    <t>12순위</t>
    <phoneticPr fontId="1" type="noConversion"/>
  </si>
  <si>
    <t>14순위</t>
    <phoneticPr fontId="1" type="noConversion"/>
  </si>
  <si>
    <t>15순위</t>
    <phoneticPr fontId="1" type="noConversion"/>
  </si>
  <si>
    <t>구단별 지명</t>
    <phoneticPr fontId="1" type="noConversion"/>
  </si>
  <si>
    <t>NPB 프로야구 드래프트 지명 명단 (정규 드래프트)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</si>
</sst>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rgb="FFFFFFFF"/>
      <name val="맑은 고딕"/>
      <family val="3"/>
      <charset val="129"/>
      <scheme val="minor"/>
    </font>
    <font>
      <b/>
      <sz val="9"/>
      <color rgb="FF475569"/>
      <name val="맑은 고딕"/>
      <family val="3"/>
      <charset val="129"/>
      <scheme val="minor"/>
    </font>
    <font>
      <b/>
      <sz val="10.5"/>
      <color rgb="FF0F172A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b/>
      <sz val="8.5"/>
      <color rgb="FF1E3A8A"/>
      <name val="맑은 고딕"/>
      <family val="3"/>
      <charset val="129"/>
      <scheme val="minor"/>
    </font>
    <font>
      <b/>
      <sz val="11.5"/>
      <color rgb="FFFFFFFF"/>
      <name val="맑은 고딕"/>
      <family val="3"/>
      <charset val="129"/>
      <scheme val="minor"/>
    </font>
    <font>
      <b/>
      <sz val="8.5"/>
      <color rgb="FF065F46"/>
      <name val="맑은 고딕"/>
      <family val="3"/>
      <charset val="129"/>
      <scheme val="minor"/>
    </font>
    <font>
      <b/>
      <sz val="10"/>
      <color rgb="FF92400E"/>
      <name val="맑은 고딕"/>
      <family val="3"/>
      <charset val="129"/>
      <scheme val="minor"/>
    </font>
    <font>
      <b/>
      <sz val="10"/>
      <color rgb="FFB45309"/>
      <name val="맑은 고딕"/>
      <family val="3"/>
      <charset val="129"/>
      <scheme val="minor"/>
    </font>
    <font>
      <b/>
      <sz val="10"/>
      <color rgb="FF1E293B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b/>
      <sz val="10.5"/>
      <color rgb="FFFFFFFF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172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FFFDF7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064E3B"/>
        <bgColor indexed="64"/>
      </patternFill>
    </fill>
    <fill>
      <patternFill patternType="solid">
        <fgColor rgb="FF065F46"/>
        <bgColor indexed="64"/>
      </patternFill>
    </fill>
  </fills>
  <borders count="9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 style="thin">
        <color rgb="FF475569"/>
      </left>
      <right style="thin">
        <color rgb="FF475569"/>
      </right>
      <top style="thin">
        <color rgb="FF475569"/>
      </top>
      <bottom style="thin">
        <color rgb="FF475569"/>
      </bottom>
      <diagonal/>
    </border>
    <border>
      <left style="thin">
        <color rgb="FF94A3B8"/>
      </left>
      <right/>
      <top style="thin">
        <color rgb="FF94A3B8"/>
      </top>
      <bottom style="thin">
        <color rgb="FF94A3B8"/>
      </bottom>
      <diagonal/>
    </border>
    <border>
      <left style="thin">
        <color rgb="FF475569"/>
      </left>
      <right style="thin">
        <color rgb="FF475569"/>
      </right>
      <top style="thin">
        <color rgb="FF475569"/>
      </top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76" fontId="13" fillId="5" borderId="4" xfId="0" applyNumberFormat="1" applyFont="1" applyFill="1" applyBorder="1" applyAlignment="1">
      <alignment horizontal="center" vertical="center"/>
    </xf>
    <xf numFmtId="0" fontId="7" fillId="14" borderId="6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1" fillId="12" borderId="5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1314450</xdr:colOff>
      <xdr:row>0</xdr:row>
      <xdr:rowOff>146050</xdr:rowOff>
    </xdr:from>
    <xdr:to>
      <xdr:col>15</xdr:col>
      <xdr:colOff>1905000</xdr:colOff>
      <xdr:row>3</xdr:row>
      <xdr:rowOff>25400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8D307CE-4683-42E5-8D5E-815307890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54550" y="146050"/>
          <a:ext cx="590550" cy="590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558800</xdr:colOff>
      <xdr:row>0</xdr:row>
      <xdr:rowOff>152400</xdr:rowOff>
    </xdr:from>
    <xdr:to>
      <xdr:col>16</xdr:col>
      <xdr:colOff>1149350</xdr:colOff>
      <xdr:row>3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15FEA9F-CAEE-4B25-8449-4CF0E80AE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8950" y="152400"/>
          <a:ext cx="590550" cy="590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77D04-8D56-4D55-874C-AD77226FA75E}">
  <sheetPr codeName="Sheet1"/>
  <dimension ref="A1:M30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:B9"/>
    </sheetView>
  </sheetViews>
  <sheetFormatPr defaultRowHeight="17" x14ac:dyDescent="0.45"/>
  <cols>
    <col min="1" max="1" width="14.08203125" style="1" customWidth="1"/>
    <col min="2" max="13" width="19.08203125" style="1" customWidth="1"/>
    <col min="14" max="14" width="33.5" style="1" customWidth="1"/>
    <col min="15" max="15" width="25.58203125" style="1" customWidth="1"/>
    <col min="16" max="16" width="25.5" style="1" customWidth="1"/>
    <col min="17" max="17" width="27" style="1" customWidth="1"/>
    <col min="18" max="18" width="26.33203125" style="1" customWidth="1"/>
    <col min="19" max="19" width="26.58203125" style="1" customWidth="1"/>
    <col min="20" max="20" width="25.9140625" style="1" customWidth="1"/>
    <col min="21" max="21" width="27" style="1" customWidth="1"/>
    <col min="22" max="22" width="26.08203125" style="1" customWidth="1"/>
    <col min="23" max="23" width="29.58203125" style="1" customWidth="1"/>
    <col min="24" max="16384" width="8.6640625" style="1"/>
  </cols>
  <sheetData>
    <row r="1" spans="1:13" ht="28" customHeight="1" x14ac:dyDescent="0.45">
      <c r="A1" s="17" t="s">
        <v>44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13" ht="20" customHeight="1" x14ac:dyDescent="0.4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</row>
    <row r="3" spans="1:13" ht="8" customHeight="1" x14ac:dyDescent="0.4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</row>
    <row r="4" spans="1:13" ht="24" customHeight="1" x14ac:dyDescent="0.45">
      <c r="A4" s="2" t="s">
        <v>0</v>
      </c>
      <c r="B4" s="3" t="s">
        <v>1</v>
      </c>
      <c r="C4" s="2" t="s">
        <v>2</v>
      </c>
      <c r="D4" s="4">
        <f>SUM(B30:M30)</f>
        <v>0</v>
      </c>
      <c r="E4" s="2" t="s">
        <v>3</v>
      </c>
      <c r="F4" s="4">
        <f>B30+D30+F30+H30+J30+L30</f>
        <v>0</v>
      </c>
      <c r="G4" s="2" t="s">
        <v>4</v>
      </c>
      <c r="H4" s="4">
        <f>C30+E30+G30+I30+K30+M30</f>
        <v>0</v>
      </c>
      <c r="I4" s="2" t="s">
        <v>5</v>
      </c>
      <c r="J4" s="4">
        <f>SUM(정규!B30:M30)+SUM(육성!B38:M38)</f>
        <v>0</v>
      </c>
      <c r="K4" s="18" t="s">
        <v>6</v>
      </c>
      <c r="L4" s="19"/>
      <c r="M4" s="20"/>
    </row>
    <row r="5" spans="1:13" ht="8" customHeight="1" x14ac:dyDescent="0.45"/>
    <row r="6" spans="1:13" ht="19" customHeight="1" x14ac:dyDescent="0.45">
      <c r="A6" s="21" t="s">
        <v>7</v>
      </c>
      <c r="B6" s="5" t="s">
        <v>8</v>
      </c>
      <c r="C6" s="6" t="s">
        <v>10</v>
      </c>
      <c r="D6" s="5" t="s">
        <v>8</v>
      </c>
      <c r="E6" s="6" t="s">
        <v>10</v>
      </c>
      <c r="F6" s="5" t="s">
        <v>8</v>
      </c>
      <c r="G6" s="6" t="s">
        <v>10</v>
      </c>
      <c r="H6" s="5" t="s">
        <v>8</v>
      </c>
      <c r="I6" s="6" t="s">
        <v>10</v>
      </c>
      <c r="J6" s="5" t="s">
        <v>8</v>
      </c>
      <c r="K6" s="6" t="s">
        <v>10</v>
      </c>
      <c r="L6" s="5" t="s">
        <v>8</v>
      </c>
      <c r="M6" s="6" t="s">
        <v>10</v>
      </c>
    </row>
    <row r="7" spans="1:13" ht="30" customHeight="1" x14ac:dyDescent="0.45">
      <c r="A7" s="21"/>
      <c r="B7" s="7" t="s">
        <v>9</v>
      </c>
      <c r="C7" s="7" t="s">
        <v>11</v>
      </c>
      <c r="D7" s="7" t="s">
        <v>12</v>
      </c>
      <c r="E7" s="7" t="s">
        <v>13</v>
      </c>
      <c r="F7" s="7" t="s">
        <v>14</v>
      </c>
      <c r="G7" s="7" t="s">
        <v>15</v>
      </c>
      <c r="H7" s="7" t="s">
        <v>16</v>
      </c>
      <c r="I7" s="7" t="s">
        <v>17</v>
      </c>
      <c r="J7" s="7" t="s">
        <v>18</v>
      </c>
      <c r="K7" s="7" t="s">
        <v>19</v>
      </c>
      <c r="L7" s="7" t="s">
        <v>20</v>
      </c>
      <c r="M7" s="7" t="s">
        <v>21</v>
      </c>
    </row>
    <row r="8" spans="1:13" ht="22" customHeight="1" x14ac:dyDescent="0.45">
      <c r="A8" s="22" t="s">
        <v>22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3" ht="19" customHeight="1" x14ac:dyDescent="0.45">
      <c r="A9" s="22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</row>
    <row r="10" spans="1:13" ht="22" customHeight="1" x14ac:dyDescent="0.45">
      <c r="A10" s="23" t="s">
        <v>23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</row>
    <row r="11" spans="1:13" ht="19" customHeight="1" x14ac:dyDescent="0.45">
      <c r="A11" s="23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</row>
    <row r="12" spans="1:13" ht="22" customHeight="1" x14ac:dyDescent="0.45">
      <c r="A12" s="23" t="s">
        <v>24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</row>
    <row r="13" spans="1:13" ht="19" customHeight="1" x14ac:dyDescent="0.45">
      <c r="A13" s="23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2" customHeight="1" x14ac:dyDescent="0.45">
      <c r="A14" s="24" t="s">
        <v>25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ht="19" customHeight="1" x14ac:dyDescent="0.45">
      <c r="A15" s="2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</row>
    <row r="16" spans="1:13" ht="22" customHeight="1" x14ac:dyDescent="0.45">
      <c r="A16" s="25" t="s">
        <v>26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</row>
    <row r="17" spans="1:13" ht="19" customHeight="1" x14ac:dyDescent="0.45">
      <c r="A17" s="2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</row>
    <row r="18" spans="1:13" ht="22" customHeight="1" x14ac:dyDescent="0.45">
      <c r="A18" s="24" t="s">
        <v>27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19" customHeight="1" x14ac:dyDescent="0.45">
      <c r="A19" s="2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</row>
    <row r="20" spans="1:13" ht="22" customHeight="1" x14ac:dyDescent="0.45">
      <c r="A20" s="25" t="s">
        <v>28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</row>
    <row r="21" spans="1:13" ht="19" customHeight="1" x14ac:dyDescent="0.45">
      <c r="A21" s="25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</row>
    <row r="22" spans="1:13" ht="22" customHeight="1" x14ac:dyDescent="0.45">
      <c r="A22" s="24" t="s">
        <v>29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1:13" ht="19" customHeight="1" x14ac:dyDescent="0.45">
      <c r="A23" s="2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</row>
    <row r="24" spans="1:13" ht="22" customHeight="1" x14ac:dyDescent="0.45">
      <c r="A24" s="25" t="s">
        <v>30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</row>
    <row r="25" spans="1:13" ht="19" customHeight="1" x14ac:dyDescent="0.45">
      <c r="A25" s="25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22" customHeight="1" x14ac:dyDescent="0.45">
      <c r="A26" s="24" t="s">
        <v>31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19" customHeight="1" x14ac:dyDescent="0.45">
      <c r="A27" s="2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</row>
    <row r="28" spans="1:13" ht="22" customHeight="1" x14ac:dyDescent="0.45">
      <c r="A28" s="25" t="s">
        <v>32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</row>
    <row r="29" spans="1:13" ht="19" customHeight="1" x14ac:dyDescent="0.45">
      <c r="A29" s="2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26" customHeight="1" x14ac:dyDescent="0.45">
      <c r="A30" s="8" t="s">
        <v>33</v>
      </c>
      <c r="B30" s="9">
        <f t="shared" ref="B30:M30" si="0">IF(COUNTA(B8,B10,B12)&gt;0,1,0)+COUNTA(B14,B16,B18,B20,B22,B24,B26,B28)</f>
        <v>0</v>
      </c>
      <c r="C30" s="9">
        <f t="shared" si="0"/>
        <v>0</v>
      </c>
      <c r="D30" s="9">
        <f t="shared" si="0"/>
        <v>0</v>
      </c>
      <c r="E30" s="9">
        <f t="shared" si="0"/>
        <v>0</v>
      </c>
      <c r="F30" s="9">
        <f t="shared" si="0"/>
        <v>0</v>
      </c>
      <c r="G30" s="9">
        <f t="shared" si="0"/>
        <v>0</v>
      </c>
      <c r="H30" s="9">
        <f t="shared" si="0"/>
        <v>0</v>
      </c>
      <c r="I30" s="9">
        <f t="shared" si="0"/>
        <v>0</v>
      </c>
      <c r="J30" s="9">
        <f t="shared" si="0"/>
        <v>0</v>
      </c>
      <c r="K30" s="9">
        <f t="shared" si="0"/>
        <v>0</v>
      </c>
      <c r="L30" s="9">
        <f t="shared" si="0"/>
        <v>0</v>
      </c>
      <c r="M30" s="9">
        <f t="shared" si="0"/>
        <v>0</v>
      </c>
    </row>
  </sheetData>
  <mergeCells count="146">
    <mergeCell ref="K28:K29"/>
    <mergeCell ref="L28:L29"/>
    <mergeCell ref="M28:M29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B14:B15"/>
    <mergeCell ref="C14:C15"/>
    <mergeCell ref="D14:D15"/>
    <mergeCell ref="E14:E15"/>
    <mergeCell ref="F14:F15"/>
    <mergeCell ref="G14:G15"/>
    <mergeCell ref="H14:H15"/>
    <mergeCell ref="I14:I15"/>
    <mergeCell ref="J14:J15"/>
    <mergeCell ref="B12:B13"/>
    <mergeCell ref="C12:C13"/>
    <mergeCell ref="D12:D13"/>
    <mergeCell ref="E12:E13"/>
    <mergeCell ref="F12:F13"/>
    <mergeCell ref="G12:G13"/>
    <mergeCell ref="H12:H13"/>
    <mergeCell ref="I12:I13"/>
    <mergeCell ref="J12:J13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I8:I9"/>
    <mergeCell ref="J8:J9"/>
    <mergeCell ref="B10:B11"/>
    <mergeCell ref="C10:C11"/>
    <mergeCell ref="L8:L9"/>
    <mergeCell ref="L10:L11"/>
    <mergeCell ref="M8:M9"/>
    <mergeCell ref="M10:M11"/>
    <mergeCell ref="K8:K9"/>
    <mergeCell ref="D10:D11"/>
    <mergeCell ref="E10:E11"/>
    <mergeCell ref="F10:F11"/>
    <mergeCell ref="G10:G11"/>
    <mergeCell ref="H10:H11"/>
    <mergeCell ref="I10:I11"/>
    <mergeCell ref="J10:J11"/>
    <mergeCell ref="A8:A9"/>
    <mergeCell ref="A10:A11"/>
    <mergeCell ref="B8:B9"/>
    <mergeCell ref="C8:C9"/>
    <mergeCell ref="D8:D9"/>
    <mergeCell ref="E8:E9"/>
    <mergeCell ref="F8:F9"/>
    <mergeCell ref="G8:G9"/>
    <mergeCell ref="H8:H9"/>
    <mergeCell ref="L20:L21"/>
    <mergeCell ref="M20:M21"/>
    <mergeCell ref="K24:K25"/>
    <mergeCell ref="L24:L25"/>
    <mergeCell ref="M24:M25"/>
    <mergeCell ref="K16:K17"/>
    <mergeCell ref="K20:K21"/>
    <mergeCell ref="K22:K23"/>
    <mergeCell ref="L22:L23"/>
    <mergeCell ref="M22:M23"/>
    <mergeCell ref="L12:L13"/>
    <mergeCell ref="M12:M13"/>
    <mergeCell ref="K10:K11"/>
    <mergeCell ref="K12:K13"/>
    <mergeCell ref="K14:K15"/>
    <mergeCell ref="A1:M3"/>
    <mergeCell ref="B18:B19"/>
    <mergeCell ref="C18:C19"/>
    <mergeCell ref="D18:D19"/>
    <mergeCell ref="E18:E19"/>
    <mergeCell ref="F18:F19"/>
    <mergeCell ref="G18:G19"/>
    <mergeCell ref="H18:H19"/>
    <mergeCell ref="I18:I19"/>
    <mergeCell ref="J18:J19"/>
    <mergeCell ref="K18:K19"/>
    <mergeCell ref="L18:L19"/>
    <mergeCell ref="M18:M19"/>
    <mergeCell ref="L14:L15"/>
    <mergeCell ref="M14:M15"/>
    <mergeCell ref="L16:L17"/>
    <mergeCell ref="M16:M17"/>
    <mergeCell ref="K4:M4"/>
    <mergeCell ref="A6:A7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26:K27"/>
    <mergeCell ref="L26:L27"/>
    <mergeCell ref="M26:M27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16AC-96D0-4C46-961B-91CAF638D563}">
  <sheetPr codeName="Sheet2"/>
  <dimension ref="A1:M41"/>
  <sheetViews>
    <sheetView workbookViewId="0">
      <selection activeCell="B8" sqref="B8:B9"/>
    </sheetView>
  </sheetViews>
  <sheetFormatPr defaultRowHeight="17" x14ac:dyDescent="0.45"/>
  <cols>
    <col min="1" max="1" width="14.08203125" style="1" customWidth="1"/>
    <col min="2" max="13" width="19.08203125" style="1" customWidth="1"/>
    <col min="14" max="14" width="27" style="1" customWidth="1"/>
    <col min="15" max="15" width="23.1640625" style="1" customWidth="1"/>
    <col min="16" max="16" width="14.25" style="1" customWidth="1"/>
    <col min="17" max="17" width="25.08203125" style="1" customWidth="1"/>
    <col min="18" max="18" width="26.83203125" style="1" customWidth="1"/>
    <col min="19" max="19" width="36" style="1" customWidth="1"/>
    <col min="20" max="20" width="29.33203125" style="1" customWidth="1"/>
    <col min="21" max="21" width="25.75" style="1" customWidth="1"/>
    <col min="22" max="22" width="25.1640625" style="1" customWidth="1"/>
    <col min="23" max="23" width="28.33203125" style="1" customWidth="1"/>
    <col min="24" max="16384" width="8.6640625" style="1"/>
  </cols>
  <sheetData>
    <row r="1" spans="1:13" ht="28" customHeight="1" x14ac:dyDescent="0.4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</row>
    <row r="2" spans="1:13" ht="20" customHeight="1" x14ac:dyDescent="0.4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1:13" ht="8" customHeight="1" x14ac:dyDescent="0.4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</row>
    <row r="4" spans="1:13" ht="24" customHeight="1" x14ac:dyDescent="0.45">
      <c r="A4" s="2" t="s">
        <v>0</v>
      </c>
      <c r="B4" s="3" t="s">
        <v>34</v>
      </c>
      <c r="C4" s="2" t="s">
        <v>2</v>
      </c>
      <c r="D4" s="4">
        <f>SUM(B38:M38)</f>
        <v>0</v>
      </c>
      <c r="E4" s="2" t="s">
        <v>3</v>
      </c>
      <c r="F4" s="12">
        <f>B38+D38+F38+H38+J38+L38</f>
        <v>0</v>
      </c>
      <c r="G4" s="2" t="s">
        <v>4</v>
      </c>
      <c r="H4" s="4">
        <f>C38+E38+G38+I38+K38+M38</f>
        <v>0</v>
      </c>
      <c r="I4" s="2" t="s">
        <v>5</v>
      </c>
      <c r="J4" s="4">
        <f>SUM(정규!B30:M30)+SUM(육성!B38:M38)</f>
        <v>0</v>
      </c>
      <c r="K4" s="18" t="s">
        <v>6</v>
      </c>
      <c r="L4" s="19"/>
      <c r="M4" s="20"/>
    </row>
    <row r="5" spans="1:13" ht="8" customHeight="1" x14ac:dyDescent="0.45"/>
    <row r="6" spans="1:13" ht="19" customHeight="1" x14ac:dyDescent="0.45">
      <c r="A6" s="26" t="s">
        <v>7</v>
      </c>
      <c r="B6" s="5" t="s">
        <v>8</v>
      </c>
      <c r="C6" s="6" t="s">
        <v>10</v>
      </c>
      <c r="D6" s="5" t="s">
        <v>8</v>
      </c>
      <c r="E6" s="6" t="s">
        <v>10</v>
      </c>
      <c r="F6" s="5" t="s">
        <v>8</v>
      </c>
      <c r="G6" s="6" t="s">
        <v>10</v>
      </c>
      <c r="H6" s="5" t="s">
        <v>8</v>
      </c>
      <c r="I6" s="6" t="s">
        <v>10</v>
      </c>
      <c r="J6" s="5" t="s">
        <v>8</v>
      </c>
      <c r="K6" s="6" t="s">
        <v>10</v>
      </c>
      <c r="L6" s="5" t="s">
        <v>8</v>
      </c>
      <c r="M6" s="6" t="s">
        <v>10</v>
      </c>
    </row>
    <row r="7" spans="1:13" ht="30" customHeight="1" x14ac:dyDescent="0.45">
      <c r="A7" s="26"/>
      <c r="B7" s="10" t="s">
        <v>9</v>
      </c>
      <c r="C7" s="10" t="s">
        <v>11</v>
      </c>
      <c r="D7" s="10" t="s">
        <v>12</v>
      </c>
      <c r="E7" s="10" t="s">
        <v>13</v>
      </c>
      <c r="F7" s="10" t="s">
        <v>14</v>
      </c>
      <c r="G7" s="10" t="s">
        <v>15</v>
      </c>
      <c r="H7" s="10" t="s">
        <v>16</v>
      </c>
      <c r="I7" s="10" t="s">
        <v>17</v>
      </c>
      <c r="J7" s="10" t="s">
        <v>18</v>
      </c>
      <c r="K7" s="10" t="s">
        <v>19</v>
      </c>
      <c r="L7" s="10" t="s">
        <v>20</v>
      </c>
      <c r="M7" s="10" t="s">
        <v>21</v>
      </c>
    </row>
    <row r="8" spans="1:13" ht="22" customHeight="1" x14ac:dyDescent="0.45">
      <c r="A8" s="25" t="s">
        <v>35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3" ht="19" customHeight="1" x14ac:dyDescent="0.45">
      <c r="A9" s="25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</row>
    <row r="10" spans="1:13" ht="22" customHeight="1" x14ac:dyDescent="0.45">
      <c r="A10" s="24" t="s">
        <v>25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</row>
    <row r="11" spans="1:13" ht="19" customHeight="1" x14ac:dyDescent="0.45">
      <c r="A11" s="2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</row>
    <row r="12" spans="1:13" ht="22" customHeight="1" x14ac:dyDescent="0.45">
      <c r="A12" s="25" t="s">
        <v>26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</row>
    <row r="13" spans="1:13" ht="19" customHeight="1" x14ac:dyDescent="0.45">
      <c r="A13" s="25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2" customHeight="1" x14ac:dyDescent="0.45">
      <c r="A14" s="24" t="s">
        <v>27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ht="19" customHeight="1" x14ac:dyDescent="0.45">
      <c r="A15" s="2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</row>
    <row r="16" spans="1:13" ht="22" customHeight="1" x14ac:dyDescent="0.45">
      <c r="A16" s="25" t="s">
        <v>28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</row>
    <row r="17" spans="1:13" ht="19" customHeight="1" x14ac:dyDescent="0.45">
      <c r="A17" s="2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</row>
    <row r="18" spans="1:13" ht="22" customHeight="1" x14ac:dyDescent="0.45">
      <c r="A18" s="24" t="s">
        <v>29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19" customHeight="1" x14ac:dyDescent="0.45">
      <c r="A19" s="2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</row>
    <row r="20" spans="1:13" ht="22" customHeight="1" x14ac:dyDescent="0.45">
      <c r="A20" s="25" t="s">
        <v>30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</row>
    <row r="21" spans="1:13" ht="19" customHeight="1" x14ac:dyDescent="0.45">
      <c r="A21" s="25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</row>
    <row r="22" spans="1:13" ht="22" customHeight="1" x14ac:dyDescent="0.45">
      <c r="A22" s="24" t="s">
        <v>31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</row>
    <row r="23" spans="1:13" ht="19" customHeight="1" x14ac:dyDescent="0.45">
      <c r="A23" s="2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</row>
    <row r="24" spans="1:13" ht="22" customHeight="1" x14ac:dyDescent="0.45">
      <c r="A24" s="25" t="s">
        <v>32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</row>
    <row r="25" spans="1:13" ht="19" customHeight="1" x14ac:dyDescent="0.45">
      <c r="A25" s="25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22" customHeight="1" x14ac:dyDescent="0.45">
      <c r="A26" s="24" t="s">
        <v>36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19" customHeight="1" x14ac:dyDescent="0.45">
      <c r="A27" s="2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</row>
    <row r="28" spans="1:13" ht="22" customHeight="1" x14ac:dyDescent="0.45">
      <c r="A28" s="25" t="s">
        <v>37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</row>
    <row r="29" spans="1:13" ht="19" customHeight="1" x14ac:dyDescent="0.45">
      <c r="A29" s="2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22" customHeight="1" x14ac:dyDescent="0.45">
      <c r="A30" s="24" t="s">
        <v>40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19" customHeight="1" x14ac:dyDescent="0.45">
      <c r="A31" s="2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</row>
    <row r="32" spans="1:13" ht="25" customHeight="1" x14ac:dyDescent="0.45">
      <c r="A32" s="24" t="s">
        <v>39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</row>
    <row r="33" spans="1:13" ht="25" customHeight="1" x14ac:dyDescent="0.45">
      <c r="A33" s="24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</row>
    <row r="34" spans="1:13" ht="25" customHeight="1" x14ac:dyDescent="0.45">
      <c r="A34" s="24" t="s">
        <v>41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</row>
    <row r="35" spans="1:13" ht="25" customHeight="1" x14ac:dyDescent="0.45">
      <c r="A35" s="2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</row>
    <row r="36" spans="1:13" ht="25" customHeight="1" x14ac:dyDescent="0.45">
      <c r="A36" s="24" t="s">
        <v>42</v>
      </c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</row>
    <row r="37" spans="1:13" ht="25" customHeight="1" x14ac:dyDescent="0.45">
      <c r="A37" s="24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</row>
    <row r="38" spans="1:13" ht="25" customHeight="1" x14ac:dyDescent="0.45">
      <c r="A38" s="11" t="s">
        <v>43</v>
      </c>
      <c r="B38" s="9">
        <f>IF(COUNTA(B8,B10,B12)&gt;0,1,0)+COUNTA(B14,B16,B18,B20,B22,B24,B26,B28,B30:B30,B32,B34,B36)</f>
        <v>0</v>
      </c>
      <c r="C38" s="9">
        <f t="shared" ref="C38:M38" si="0">IF(COUNTA(C8,C10,C12)&gt;0,1,0)+COUNTA(C14,C16,C18,C20,C22,C24,C26,C28,C30,C32,C34,C36)</f>
        <v>0</v>
      </c>
      <c r="D38" s="9">
        <f t="shared" si="0"/>
        <v>0</v>
      </c>
      <c r="E38" s="9">
        <f t="shared" si="0"/>
        <v>0</v>
      </c>
      <c r="F38" s="9">
        <f t="shared" si="0"/>
        <v>0</v>
      </c>
      <c r="G38" s="9">
        <f t="shared" si="0"/>
        <v>0</v>
      </c>
      <c r="H38" s="9">
        <f t="shared" si="0"/>
        <v>0</v>
      </c>
      <c r="I38" s="9">
        <f t="shared" si="0"/>
        <v>0</v>
      </c>
      <c r="J38" s="9">
        <f t="shared" si="0"/>
        <v>0</v>
      </c>
      <c r="K38" s="9">
        <f t="shared" si="0"/>
        <v>0</v>
      </c>
      <c r="L38" s="9">
        <f t="shared" si="0"/>
        <v>0</v>
      </c>
      <c r="M38" s="9">
        <f t="shared" si="0"/>
        <v>0</v>
      </c>
    </row>
    <row r="39" spans="1:13" ht="25" customHeight="1" x14ac:dyDescent="0.45"/>
    <row r="40" spans="1:13" ht="25" customHeight="1" x14ac:dyDescent="0.45"/>
    <row r="41" spans="1:13" ht="25" customHeight="1" x14ac:dyDescent="0.45"/>
  </sheetData>
  <mergeCells count="198">
    <mergeCell ref="H32:H33"/>
    <mergeCell ref="I32:I33"/>
    <mergeCell ref="J32:J33"/>
    <mergeCell ref="K34:K35"/>
    <mergeCell ref="L34:L35"/>
    <mergeCell ref="M34:M35"/>
    <mergeCell ref="K32:K33"/>
    <mergeCell ref="L32:L33"/>
    <mergeCell ref="M32:M33"/>
    <mergeCell ref="H34:H35"/>
    <mergeCell ref="I34:I35"/>
    <mergeCell ref="J34:J35"/>
    <mergeCell ref="H36:H37"/>
    <mergeCell ref="I36:I37"/>
    <mergeCell ref="J36:J37"/>
    <mergeCell ref="K36:K37"/>
    <mergeCell ref="L36:L37"/>
    <mergeCell ref="M36:M37"/>
    <mergeCell ref="A32:A33"/>
    <mergeCell ref="A34:A35"/>
    <mergeCell ref="A36:A37"/>
    <mergeCell ref="B32:B33"/>
    <mergeCell ref="C32:C33"/>
    <mergeCell ref="D32:D33"/>
    <mergeCell ref="E32:E33"/>
    <mergeCell ref="F32:F33"/>
    <mergeCell ref="G32:G33"/>
    <mergeCell ref="B36:B37"/>
    <mergeCell ref="C36:C37"/>
    <mergeCell ref="D36:D37"/>
    <mergeCell ref="E36:E37"/>
    <mergeCell ref="F36:F37"/>
    <mergeCell ref="G36:G37"/>
    <mergeCell ref="B34:B35"/>
    <mergeCell ref="C34:C35"/>
    <mergeCell ref="D34:D35"/>
    <mergeCell ref="E34:E35"/>
    <mergeCell ref="F34:F35"/>
    <mergeCell ref="G34:G35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I18:I19"/>
    <mergeCell ref="J18:J19"/>
    <mergeCell ref="D16:D17"/>
    <mergeCell ref="E16:E17"/>
    <mergeCell ref="F16:F17"/>
    <mergeCell ref="G16:G17"/>
    <mergeCell ref="H16:H17"/>
    <mergeCell ref="I16:I17"/>
    <mergeCell ref="J16:J17"/>
    <mergeCell ref="B14:B15"/>
    <mergeCell ref="C14:C15"/>
    <mergeCell ref="D14:D15"/>
    <mergeCell ref="E14:E15"/>
    <mergeCell ref="F14:F15"/>
    <mergeCell ref="G14:G15"/>
    <mergeCell ref="H14:H15"/>
    <mergeCell ref="I14:I15"/>
    <mergeCell ref="J14:J15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I20:I21"/>
    <mergeCell ref="J20:J21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B16:B17"/>
    <mergeCell ref="C16:C17"/>
    <mergeCell ref="B20:B21"/>
    <mergeCell ref="C20:C21"/>
    <mergeCell ref="D20:D21"/>
    <mergeCell ref="E20:E21"/>
    <mergeCell ref="F20:F21"/>
    <mergeCell ref="G20:G21"/>
    <mergeCell ref="H20:H21"/>
    <mergeCell ref="B18:B19"/>
    <mergeCell ref="C18:C19"/>
    <mergeCell ref="D18:D19"/>
    <mergeCell ref="E18:E19"/>
    <mergeCell ref="F18:F19"/>
    <mergeCell ref="G18:G19"/>
    <mergeCell ref="H18:H19"/>
    <mergeCell ref="C8:C9"/>
    <mergeCell ref="D8:D9"/>
    <mergeCell ref="E8:E9"/>
    <mergeCell ref="F8:F9"/>
    <mergeCell ref="G8:G9"/>
    <mergeCell ref="H8:H9"/>
    <mergeCell ref="I8:I9"/>
    <mergeCell ref="J8:J9"/>
    <mergeCell ref="B12:B13"/>
    <mergeCell ref="C12:C13"/>
    <mergeCell ref="D12:D13"/>
    <mergeCell ref="E12:E13"/>
    <mergeCell ref="F12:F13"/>
    <mergeCell ref="G12:G13"/>
    <mergeCell ref="H12:H13"/>
    <mergeCell ref="I12:I13"/>
    <mergeCell ref="J12:J13"/>
    <mergeCell ref="B10:B11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K30:K31"/>
    <mergeCell ref="L30:L31"/>
    <mergeCell ref="M30:M31"/>
    <mergeCell ref="K28:K29"/>
    <mergeCell ref="L28:L29"/>
    <mergeCell ref="M28:M29"/>
    <mergeCell ref="K26:K27"/>
    <mergeCell ref="L26:L27"/>
    <mergeCell ref="M26:M27"/>
    <mergeCell ref="K24:K25"/>
    <mergeCell ref="L24:L25"/>
    <mergeCell ref="M24:M25"/>
    <mergeCell ref="K22:K23"/>
    <mergeCell ref="L22:L23"/>
    <mergeCell ref="M22:M23"/>
    <mergeCell ref="K20:K21"/>
    <mergeCell ref="L20:L21"/>
    <mergeCell ref="M20:M21"/>
    <mergeCell ref="K18:K19"/>
    <mergeCell ref="L18:L19"/>
    <mergeCell ref="M18:M19"/>
    <mergeCell ref="K16:K17"/>
    <mergeCell ref="L16:L17"/>
    <mergeCell ref="M16:M17"/>
    <mergeCell ref="K14:K15"/>
    <mergeCell ref="L14:L15"/>
    <mergeCell ref="M14:M15"/>
    <mergeCell ref="K12:K13"/>
    <mergeCell ref="L12:L13"/>
    <mergeCell ref="M12:M13"/>
    <mergeCell ref="K8:K9"/>
    <mergeCell ref="L8:L9"/>
    <mergeCell ref="M8:M9"/>
    <mergeCell ref="K4:M4"/>
    <mergeCell ref="A6:A7"/>
    <mergeCell ref="A1:M3"/>
    <mergeCell ref="C10:C11"/>
    <mergeCell ref="D10:D11"/>
    <mergeCell ref="E10:E11"/>
    <mergeCell ref="F10:F11"/>
    <mergeCell ref="G10:G11"/>
    <mergeCell ref="H10:H11"/>
    <mergeCell ref="I10:I11"/>
    <mergeCell ref="J10:J11"/>
    <mergeCell ref="K10:K11"/>
    <mergeCell ref="L10:L11"/>
    <mergeCell ref="M10:M11"/>
    <mergeCell ref="A8:A9"/>
    <mergeCell ref="A10:A11"/>
    <mergeCell ref="A12:A13"/>
    <mergeCell ref="B8:B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정규</vt:lpstr>
      <vt:lpstr>육성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</dc:creator>
  <cp:lastModifiedBy>ham</cp:lastModifiedBy>
  <dcterms:created xsi:type="dcterms:W3CDTF">2026-10-28T23:53:18Z</dcterms:created>
  <dcterms:modified xsi:type="dcterms:W3CDTF">2026-10-29T14:24:11Z</dcterms:modified>
</cp:coreProperties>
</file>