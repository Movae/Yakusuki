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am\Desktop\"/>
    </mc:Choice>
  </mc:AlternateContent>
  <xr:revisionPtr revIDLastSave="0" documentId="13_ncr:1_{9F44F845-AF29-40CC-B000-78DC95943D98}" xr6:coauthVersionLast="45" xr6:coauthVersionMax="45" xr10:uidLastSave="{00000000-0000-0000-0000-000000000000}"/>
  <bookViews>
    <workbookView xWindow="1430" yWindow="2930" windowWidth="34930" windowHeight="16660" xr2:uid="{ED4B2596-3EA5-4240-BBFE-64098294DB63}"/>
  </bookViews>
  <sheets>
    <sheet name="명단" sheetId="1" r:id="rId1"/>
  </sheets>
  <definedNames>
    <definedName name="_xlnm._FilterDatabase" localSheetId="0" hidden="1">명단!$A$7:$J$150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" i="1" l="1"/>
  <c r="P18" i="1" s="1"/>
  <c r="O19" i="1"/>
  <c r="N19" i="1"/>
  <c r="P19" i="1" s="1"/>
  <c r="O18" i="1"/>
  <c r="O17" i="1"/>
  <c r="N17" i="1"/>
  <c r="P17" i="1" s="1"/>
  <c r="O16" i="1"/>
  <c r="N16" i="1"/>
  <c r="P16" i="1" s="1"/>
  <c r="O15" i="1"/>
  <c r="N15" i="1"/>
  <c r="P15" i="1" s="1"/>
  <c r="O14" i="1"/>
  <c r="N14" i="1"/>
  <c r="P14" i="1" s="1"/>
  <c r="O13" i="1"/>
  <c r="N13" i="1"/>
  <c r="P13" i="1" s="1"/>
  <c r="O12" i="1"/>
  <c r="N12" i="1"/>
  <c r="P12" i="1" s="1"/>
  <c r="O11" i="1"/>
  <c r="N11" i="1"/>
  <c r="P11" i="1" s="1"/>
  <c r="O10" i="1"/>
  <c r="N10" i="1"/>
  <c r="P10" i="1" s="1"/>
  <c r="O9" i="1"/>
  <c r="N9" i="1"/>
  <c r="P9" i="1" s="1"/>
  <c r="O8" i="1"/>
  <c r="N8" i="1"/>
  <c r="P8" i="1" s="1"/>
  <c r="D150" i="1"/>
  <c r="A150" i="1"/>
  <c r="D149" i="1"/>
  <c r="A149" i="1"/>
  <c r="D148" i="1"/>
  <c r="A148" i="1"/>
  <c r="D147" i="1"/>
  <c r="A147" i="1"/>
  <c r="D146" i="1"/>
  <c r="A146" i="1"/>
  <c r="D145" i="1"/>
  <c r="A145" i="1"/>
  <c r="D144" i="1"/>
  <c r="A144" i="1"/>
  <c r="D143" i="1"/>
  <c r="A143" i="1"/>
  <c r="D142" i="1"/>
  <c r="A142" i="1"/>
  <c r="D141" i="1"/>
  <c r="A141" i="1"/>
  <c r="D140" i="1"/>
  <c r="A140" i="1"/>
  <c r="D139" i="1"/>
  <c r="A139" i="1"/>
  <c r="D138" i="1"/>
  <c r="A138" i="1"/>
  <c r="D137" i="1"/>
  <c r="A137" i="1"/>
  <c r="D136" i="1"/>
  <c r="A136" i="1"/>
  <c r="D135" i="1"/>
  <c r="A135" i="1"/>
  <c r="D134" i="1"/>
  <c r="A134" i="1"/>
  <c r="D133" i="1"/>
  <c r="A133" i="1"/>
  <c r="D132" i="1"/>
  <c r="A132" i="1"/>
  <c r="D131" i="1"/>
  <c r="A131" i="1"/>
  <c r="D130" i="1"/>
  <c r="A130" i="1"/>
  <c r="D129" i="1"/>
  <c r="A129" i="1"/>
  <c r="D128" i="1"/>
  <c r="A128" i="1"/>
  <c r="D127" i="1"/>
  <c r="A127" i="1"/>
  <c r="D126" i="1"/>
  <c r="A126" i="1"/>
  <c r="D125" i="1"/>
  <c r="A125" i="1"/>
  <c r="D124" i="1"/>
  <c r="A124" i="1"/>
  <c r="D123" i="1"/>
  <c r="A123" i="1"/>
  <c r="D122" i="1"/>
  <c r="A122" i="1"/>
  <c r="D121" i="1"/>
  <c r="A121" i="1"/>
  <c r="D120" i="1"/>
  <c r="A120" i="1"/>
  <c r="D119" i="1"/>
  <c r="A119" i="1"/>
  <c r="D118" i="1"/>
  <c r="A118" i="1"/>
  <c r="D117" i="1"/>
  <c r="A117" i="1"/>
  <c r="D116" i="1"/>
  <c r="A116" i="1"/>
  <c r="D115" i="1"/>
  <c r="A115" i="1"/>
  <c r="D114" i="1"/>
  <c r="A114" i="1"/>
  <c r="D113" i="1"/>
  <c r="A113" i="1"/>
  <c r="D112" i="1"/>
  <c r="A112" i="1"/>
  <c r="D111" i="1"/>
  <c r="A111" i="1"/>
  <c r="D110" i="1"/>
  <c r="A110" i="1"/>
  <c r="D109" i="1"/>
  <c r="A109" i="1"/>
  <c r="D108" i="1"/>
  <c r="A108" i="1"/>
  <c r="D107" i="1"/>
  <c r="A107" i="1"/>
  <c r="D106" i="1"/>
  <c r="A106" i="1"/>
  <c r="D105" i="1"/>
  <c r="A105" i="1"/>
  <c r="D104" i="1"/>
  <c r="A104" i="1"/>
  <c r="D103" i="1"/>
  <c r="A103" i="1"/>
  <c r="D102" i="1"/>
  <c r="A102" i="1"/>
  <c r="D101" i="1"/>
  <c r="A101" i="1"/>
  <c r="D100" i="1"/>
  <c r="A100" i="1"/>
  <c r="D99" i="1"/>
  <c r="A99" i="1"/>
  <c r="D98" i="1"/>
  <c r="A98" i="1"/>
  <c r="D97" i="1"/>
  <c r="A97" i="1"/>
  <c r="D96" i="1"/>
  <c r="A96" i="1"/>
  <c r="D95" i="1"/>
  <c r="A95" i="1"/>
  <c r="D94" i="1"/>
  <c r="A94" i="1"/>
  <c r="D93" i="1"/>
  <c r="A93" i="1"/>
  <c r="D92" i="1"/>
  <c r="A92" i="1"/>
  <c r="D91" i="1"/>
  <c r="A91" i="1"/>
  <c r="D90" i="1"/>
  <c r="A90" i="1"/>
  <c r="D89" i="1"/>
  <c r="A89" i="1"/>
  <c r="D88" i="1"/>
  <c r="A88" i="1"/>
  <c r="D87" i="1"/>
  <c r="A87" i="1"/>
  <c r="D86" i="1"/>
  <c r="A86" i="1"/>
  <c r="D85" i="1"/>
  <c r="A85" i="1"/>
  <c r="D84" i="1"/>
  <c r="A84" i="1"/>
  <c r="D83" i="1"/>
  <c r="A83" i="1"/>
  <c r="D82" i="1"/>
  <c r="A82" i="1"/>
  <c r="D81" i="1"/>
  <c r="A81" i="1"/>
  <c r="D80" i="1"/>
  <c r="A80" i="1"/>
  <c r="D79" i="1"/>
  <c r="A79" i="1"/>
  <c r="D78" i="1"/>
  <c r="A78" i="1"/>
  <c r="D77" i="1"/>
  <c r="A77" i="1"/>
  <c r="D76" i="1"/>
  <c r="A76" i="1"/>
  <c r="D75" i="1"/>
  <c r="A75" i="1"/>
  <c r="D74" i="1"/>
  <c r="A74" i="1"/>
  <c r="D73" i="1"/>
  <c r="A73" i="1"/>
  <c r="D72" i="1"/>
  <c r="A72" i="1"/>
  <c r="D71" i="1"/>
  <c r="A71" i="1"/>
  <c r="D70" i="1"/>
  <c r="A70" i="1"/>
  <c r="D69" i="1"/>
  <c r="A69" i="1"/>
  <c r="D68" i="1"/>
  <c r="A68" i="1"/>
  <c r="D67" i="1"/>
  <c r="A67" i="1"/>
  <c r="D66" i="1"/>
  <c r="A66" i="1"/>
  <c r="D65" i="1"/>
  <c r="A65" i="1"/>
  <c r="D64" i="1"/>
  <c r="A64" i="1"/>
  <c r="D63" i="1"/>
  <c r="A63" i="1"/>
  <c r="D62" i="1"/>
  <c r="A62" i="1"/>
  <c r="D61" i="1"/>
  <c r="A61" i="1"/>
  <c r="D60" i="1"/>
  <c r="A60" i="1"/>
  <c r="D59" i="1"/>
  <c r="A59" i="1"/>
  <c r="D58" i="1"/>
  <c r="A58" i="1"/>
  <c r="D57" i="1"/>
  <c r="A57" i="1"/>
  <c r="D56" i="1"/>
  <c r="A56" i="1"/>
  <c r="D55" i="1"/>
  <c r="A55" i="1"/>
  <c r="D54" i="1"/>
  <c r="A54" i="1"/>
  <c r="D53" i="1"/>
  <c r="A53" i="1"/>
  <c r="D52" i="1"/>
  <c r="A52" i="1"/>
  <c r="D51" i="1"/>
  <c r="A51" i="1"/>
  <c r="D50" i="1"/>
  <c r="A50" i="1"/>
  <c r="D49" i="1"/>
  <c r="A49" i="1"/>
  <c r="D48" i="1"/>
  <c r="A48" i="1"/>
  <c r="D47" i="1"/>
  <c r="A47" i="1"/>
  <c r="D46" i="1"/>
  <c r="A46" i="1"/>
  <c r="D45" i="1"/>
  <c r="A45" i="1"/>
  <c r="D44" i="1"/>
  <c r="A44" i="1"/>
  <c r="D43" i="1"/>
  <c r="A43" i="1"/>
  <c r="D42" i="1"/>
  <c r="A42" i="1"/>
  <c r="D41" i="1"/>
  <c r="A41" i="1"/>
  <c r="D40" i="1"/>
  <c r="A40" i="1"/>
  <c r="D39" i="1"/>
  <c r="A39" i="1"/>
  <c r="D38" i="1"/>
  <c r="A38" i="1"/>
  <c r="D37" i="1"/>
  <c r="A37" i="1"/>
  <c r="D36" i="1"/>
  <c r="A36" i="1"/>
  <c r="D35" i="1"/>
  <c r="A35" i="1"/>
  <c r="D34" i="1"/>
  <c r="A34" i="1"/>
  <c r="D33" i="1"/>
  <c r="A33" i="1"/>
  <c r="D32" i="1"/>
  <c r="A32" i="1"/>
  <c r="D31" i="1"/>
  <c r="A31" i="1"/>
  <c r="D30" i="1"/>
  <c r="A30" i="1"/>
  <c r="D29" i="1"/>
  <c r="A29" i="1"/>
  <c r="D28" i="1"/>
  <c r="A28" i="1"/>
  <c r="D27" i="1"/>
  <c r="A27" i="1"/>
  <c r="D26" i="1"/>
  <c r="A26" i="1"/>
  <c r="D25" i="1"/>
  <c r="A25" i="1"/>
  <c r="D24" i="1"/>
  <c r="A24" i="1"/>
  <c r="D23" i="1"/>
  <c r="A23" i="1"/>
  <c r="D22" i="1"/>
  <c r="A22" i="1"/>
  <c r="D21" i="1"/>
  <c r="A21" i="1"/>
  <c r="D20" i="1"/>
  <c r="A20" i="1"/>
  <c r="D19" i="1"/>
  <c r="A19" i="1"/>
  <c r="D18" i="1"/>
  <c r="A18" i="1"/>
  <c r="D17" i="1"/>
  <c r="A17" i="1"/>
  <c r="D16" i="1"/>
  <c r="A16" i="1"/>
  <c r="D15" i="1"/>
  <c r="A15" i="1"/>
  <c r="D14" i="1"/>
  <c r="A14" i="1"/>
  <c r="D13" i="1"/>
  <c r="A13" i="1"/>
  <c r="D12" i="1"/>
  <c r="A12" i="1"/>
  <c r="D11" i="1"/>
  <c r="A11" i="1"/>
  <c r="D10" i="1"/>
  <c r="A10" i="1"/>
  <c r="D9" i="1"/>
  <c r="A9" i="1"/>
  <c r="D8" i="1"/>
  <c r="A8" i="1"/>
  <c r="I5" i="1"/>
  <c r="G5" i="1"/>
  <c r="E5" i="1"/>
  <c r="C5" i="1"/>
  <c r="A5" i="1"/>
  <c r="O20" i="1" l="1"/>
  <c r="P20" i="1"/>
  <c r="N20" i="1"/>
</calcChain>
</file>

<file path=xl/sharedStrings.xml><?xml version="1.0" encoding="utf-8"?>
<sst xmlns="http://schemas.openxmlformats.org/spreadsheetml/2006/main" count="46" uniqueCount="35">
  <si>
    <t xml:space="preserve">  NPB 전력외 통보 · 현역 은퇴 · 자유계약 · 퇴단 선수 명단 관리표</t>
  </si>
  <si>
    <t>전체 공시 인원</t>
  </si>
  <si>
    <t>전력외 통보</t>
  </si>
  <si>
    <t>현역 은퇴</t>
  </si>
  <si>
    <t>자유계약 / 퇴단</t>
  </si>
  <si>
    <t>육성선수(※)</t>
  </si>
  <si>
    <t>연번</t>
  </si>
  <si>
    <t>공시 구분</t>
  </si>
  <si>
    <t>발표일</t>
  </si>
  <si>
    <t>리그</t>
  </si>
  <si>
    <t>구단</t>
  </si>
  <si>
    <t>포지션</t>
  </si>
  <si>
    <t>선수명 (원문)</t>
  </si>
  <si>
    <t>선수명 (한글)</t>
  </si>
  <si>
    <t>향후 거취 / 비고</t>
  </si>
  <si>
    <t>구단명</t>
  </si>
  <si>
    <t>합계</t>
  </si>
  <si>
    <t>센트럴</t>
  </si>
  <si>
    <t>요미우리</t>
  </si>
  <si>
    <t>야쿠르트</t>
  </si>
  <si>
    <t>DeNA</t>
  </si>
  <si>
    <t>주니치</t>
  </si>
  <si>
    <t>한신</t>
  </si>
  <si>
    <t>히로시마</t>
  </si>
  <si>
    <t>퍼시픽</t>
  </si>
  <si>
    <t>닛폰햄</t>
  </si>
  <si>
    <t>라쿠텐</t>
  </si>
  <si>
    <t>세이부</t>
  </si>
  <si>
    <t>지바롯데</t>
  </si>
  <si>
    <t>오릭스</t>
  </si>
  <si>
    <t>소프트뱅크</t>
  </si>
  <si>
    <t>12구단 총합계</t>
  </si>
  <si>
    <t>육성※</t>
    <phoneticPr fontId="1" type="noConversion"/>
  </si>
  <si>
    <t>지배하</t>
    <phoneticPr fontId="1" type="noConversion"/>
  </si>
  <si>
    <t>등록 신분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</si>
</sst>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&quot; 명&quot;"/>
    <numFmt numFmtId="177" formatCode="m&quot;월&quot;\ d&quot;일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5"/>
      <color theme="1"/>
      <name val="맑은 고딕"/>
      <family val="2"/>
      <charset val="129"/>
      <scheme val="minor"/>
    </font>
    <font>
      <b/>
      <sz val="14"/>
      <color rgb="FFFFFFFF"/>
      <name val="맑은 고딕"/>
      <family val="3"/>
      <charset val="129"/>
      <scheme val="minor"/>
    </font>
    <font>
      <b/>
      <sz val="9.5"/>
      <color theme="1"/>
      <name val="맑은 고딕"/>
      <family val="3"/>
      <charset val="129"/>
      <scheme val="minor"/>
    </font>
    <font>
      <b/>
      <sz val="9"/>
      <color rgb="FF334155"/>
      <name val="맑은 고딕"/>
      <family val="3"/>
      <charset val="129"/>
      <scheme val="minor"/>
    </font>
    <font>
      <b/>
      <sz val="13"/>
      <color rgb="FF0F172A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b/>
      <sz val="9.5"/>
      <color rgb="FF1E3A8A"/>
      <name val="맑은 고딕"/>
      <family val="3"/>
      <charset val="129"/>
      <scheme val="minor"/>
    </font>
    <font>
      <b/>
      <sz val="9.5"/>
      <color rgb="FF065F46"/>
      <name val="맑은 고딕"/>
      <family val="3"/>
      <charset val="129"/>
      <scheme val="minor"/>
    </font>
    <font>
      <b/>
      <sz val="9.5"/>
      <color rgb="FFFFFFFF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334155"/>
        <bgColor indexed="64"/>
      </patternFill>
    </fill>
  </fills>
  <borders count="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475569"/>
      </left>
      <right style="thin">
        <color rgb="FF475569"/>
      </right>
      <top style="thin">
        <color rgb="FF475569"/>
      </top>
      <bottom style="thin">
        <color rgb="FF475569"/>
      </bottom>
      <diagonal/>
    </border>
    <border>
      <left/>
      <right/>
      <top/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7" fillId="4" borderId="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177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177" fontId="2" fillId="6" borderId="1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6" fillId="3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C03F-A5B3-4DA1-AEC7-C53F4E97DF80}">
  <sheetPr codeName="Sheet1"/>
  <dimension ref="A1:P300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3.5" x14ac:dyDescent="0.45"/>
  <cols>
    <col min="1" max="1" width="7.58203125" style="1" customWidth="1"/>
    <col min="2" max="2" width="14.58203125" style="1" customWidth="1"/>
    <col min="3" max="3" width="13.58203125" style="1" customWidth="1"/>
    <col min="4" max="4" width="10.58203125" style="1" customWidth="1"/>
    <col min="5" max="5" width="15.58203125" style="1" customWidth="1"/>
    <col min="6" max="6" width="13.58203125" style="1" customWidth="1"/>
    <col min="7" max="7" width="12.58203125" style="1" customWidth="1"/>
    <col min="8" max="9" width="17.58203125" style="1" customWidth="1"/>
    <col min="10" max="10" width="28.58203125" style="1" customWidth="1"/>
    <col min="11" max="11" width="3.58203125" style="1" customWidth="1"/>
    <col min="12" max="12" width="10.58203125" style="1" customWidth="1"/>
    <col min="13" max="13" width="15.58203125" style="1" customWidth="1"/>
    <col min="14" max="16" width="9.58203125" style="1" customWidth="1"/>
    <col min="17" max="16384" width="8.6640625" style="1"/>
  </cols>
  <sheetData>
    <row r="1" spans="1:16" ht="24" customHeight="1" x14ac:dyDescent="0.45">
      <c r="A1" s="19" t="s">
        <v>0</v>
      </c>
      <c r="B1" s="19"/>
      <c r="C1" s="19"/>
      <c r="D1" s="19"/>
      <c r="E1" s="19"/>
      <c r="F1" s="19"/>
      <c r="G1" s="19"/>
      <c r="H1" s="19"/>
      <c r="I1" s="19"/>
      <c r="J1" s="19"/>
    </row>
    <row r="2" spans="1:16" ht="18" customHeight="1" x14ac:dyDescent="0.4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6" ht="10" customHeight="1" x14ac:dyDescent="0.45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6" ht="18" customHeight="1" x14ac:dyDescent="0.45">
      <c r="A4" s="16" t="s">
        <v>1</v>
      </c>
      <c r="B4" s="16"/>
      <c r="C4" s="16" t="s">
        <v>2</v>
      </c>
      <c r="D4" s="16"/>
      <c r="E4" s="16" t="s">
        <v>3</v>
      </c>
      <c r="F4" s="16"/>
      <c r="G4" s="16" t="s">
        <v>4</v>
      </c>
      <c r="H4" s="16"/>
      <c r="I4" s="16" t="s">
        <v>5</v>
      </c>
      <c r="J4" s="16"/>
    </row>
    <row r="5" spans="1:16" ht="24" customHeight="1" x14ac:dyDescent="0.45">
      <c r="A5" s="17">
        <f t="shared" ref="A5" si="0">COUNTA(H8:H150)</f>
        <v>0</v>
      </c>
      <c r="B5" s="17"/>
      <c r="C5" s="17">
        <f t="shared" ref="C5" si="1">COUNTIF(B8:B150,"전력외 통보")</f>
        <v>0</v>
      </c>
      <c r="D5" s="17"/>
      <c r="E5" s="17">
        <f t="shared" ref="E5" si="2">COUNTIF(B8:B150,"현역 은퇴")</f>
        <v>0</v>
      </c>
      <c r="F5" s="17"/>
      <c r="G5" s="17">
        <f t="shared" ref="G5" si="3">COUNTIF(B8:B150,"자유계약")+COUNTIF(B8:B150,"퇴단")</f>
        <v>0</v>
      </c>
      <c r="H5" s="17"/>
      <c r="I5" s="17">
        <f t="shared" ref="I5" si="4">COUNTIF(F8:F150,"육성(※)")</f>
        <v>0</v>
      </c>
      <c r="J5" s="17"/>
    </row>
    <row r="6" spans="1:16" ht="12" customHeight="1" x14ac:dyDescent="0.45"/>
    <row r="7" spans="1:16" ht="26" customHeight="1" x14ac:dyDescent="0.45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34</v>
      </c>
      <c r="G7" s="2" t="s">
        <v>11</v>
      </c>
      <c r="H7" s="2" t="s">
        <v>12</v>
      </c>
      <c r="I7" s="2" t="s">
        <v>13</v>
      </c>
      <c r="J7" s="2" t="s">
        <v>14</v>
      </c>
      <c r="L7" s="9" t="s">
        <v>9</v>
      </c>
      <c r="M7" s="9" t="s">
        <v>15</v>
      </c>
      <c r="N7" s="9" t="s">
        <v>33</v>
      </c>
      <c r="O7" s="9" t="s">
        <v>32</v>
      </c>
      <c r="P7" s="9" t="s">
        <v>16</v>
      </c>
    </row>
    <row r="8" spans="1:16" ht="22" customHeight="1" x14ac:dyDescent="0.45">
      <c r="A8" s="3" t="str">
        <f>IF(COUNTA(H8:I8)=0,"",SUBTOTAL(103,$H$8:H8))</f>
        <v/>
      </c>
      <c r="B8" s="3"/>
      <c r="C8" s="5"/>
      <c r="D8" s="3" t="str">
        <f t="shared" ref="D8:D39" si="5">IF(E8="","",IF(ISNUMBER(FIND(E8,"요미우리,야쿠르트,DeNA,주니치,한신,히로시마")),"센트럴","퍼시픽"))</f>
        <v/>
      </c>
      <c r="E8" s="3"/>
      <c r="F8" s="6"/>
      <c r="G8" s="3"/>
      <c r="H8" s="4"/>
      <c r="I8" s="4"/>
      <c r="J8" s="4"/>
      <c r="L8" s="10" t="s">
        <v>17</v>
      </c>
      <c r="M8" s="11" t="s">
        <v>18</v>
      </c>
      <c r="N8" s="12">
        <f t="shared" ref="N8:N19" si="6">COUNTIFS($E$8:$E$150,M8,$F$8:$F$150,"지배하")</f>
        <v>0</v>
      </c>
      <c r="O8" s="12">
        <f t="shared" ref="O8:O19" si="7">COUNTIFS($E$8:$E$150,M8,$F$8:$F$150,"육성(※)")</f>
        <v>0</v>
      </c>
      <c r="P8" s="13">
        <f t="shared" ref="P8:P19" si="8">SUM(N8:O8)</f>
        <v>0</v>
      </c>
    </row>
    <row r="9" spans="1:16" ht="22" customHeight="1" x14ac:dyDescent="0.45">
      <c r="A9" s="6" t="str">
        <f>IF(COUNTA(H9:I9)=0,"",SUBTOTAL(103,$H$8:H9))</f>
        <v/>
      </c>
      <c r="B9" s="6"/>
      <c r="C9" s="8"/>
      <c r="D9" s="6" t="str">
        <f t="shared" si="5"/>
        <v/>
      </c>
      <c r="E9" s="6"/>
      <c r="F9" s="6"/>
      <c r="G9" s="6"/>
      <c r="H9" s="7"/>
      <c r="I9" s="7"/>
      <c r="J9" s="7"/>
      <c r="L9" s="10" t="s">
        <v>17</v>
      </c>
      <c r="M9" s="11" t="s">
        <v>19</v>
      </c>
      <c r="N9" s="12">
        <f t="shared" si="6"/>
        <v>0</v>
      </c>
      <c r="O9" s="12">
        <f t="shared" si="7"/>
        <v>0</v>
      </c>
      <c r="P9" s="13">
        <f t="shared" si="8"/>
        <v>0</v>
      </c>
    </row>
    <row r="10" spans="1:16" ht="22" customHeight="1" x14ac:dyDescent="0.45">
      <c r="A10" s="3" t="str">
        <f>IF(COUNTA(H10:I10)=0,"",SUBTOTAL(103,$H$8:H10))</f>
        <v/>
      </c>
      <c r="B10" s="3"/>
      <c r="C10" s="5"/>
      <c r="D10" s="3" t="str">
        <f t="shared" si="5"/>
        <v/>
      </c>
      <c r="E10" s="3"/>
      <c r="F10" s="3"/>
      <c r="G10" s="3"/>
      <c r="H10" s="4"/>
      <c r="I10" s="4"/>
      <c r="J10" s="4"/>
      <c r="L10" s="10" t="s">
        <v>17</v>
      </c>
      <c r="M10" s="11" t="s">
        <v>20</v>
      </c>
      <c r="N10" s="12">
        <f t="shared" si="6"/>
        <v>0</v>
      </c>
      <c r="O10" s="12">
        <f t="shared" si="7"/>
        <v>0</v>
      </c>
      <c r="P10" s="13">
        <f t="shared" si="8"/>
        <v>0</v>
      </c>
    </row>
    <row r="11" spans="1:16" ht="22" customHeight="1" x14ac:dyDescent="0.45">
      <c r="A11" s="6" t="str">
        <f>IF(COUNTA(H11:I11)=0,"",SUBTOTAL(103,$H$8:H11))</f>
        <v/>
      </c>
      <c r="B11" s="6"/>
      <c r="C11" s="8"/>
      <c r="D11" s="6" t="str">
        <f t="shared" si="5"/>
        <v/>
      </c>
      <c r="E11" s="6"/>
      <c r="F11" s="6"/>
      <c r="G11" s="6"/>
      <c r="H11" s="7"/>
      <c r="I11" s="7"/>
      <c r="J11" s="7"/>
      <c r="L11" s="10" t="s">
        <v>17</v>
      </c>
      <c r="M11" s="11" t="s">
        <v>21</v>
      </c>
      <c r="N11" s="12">
        <f t="shared" si="6"/>
        <v>0</v>
      </c>
      <c r="O11" s="12">
        <f t="shared" si="7"/>
        <v>0</v>
      </c>
      <c r="P11" s="13">
        <f t="shared" si="8"/>
        <v>0</v>
      </c>
    </row>
    <row r="12" spans="1:16" ht="22" customHeight="1" x14ac:dyDescent="0.45">
      <c r="A12" s="3" t="str">
        <f>IF(COUNTA(H12:I12)=0,"",SUBTOTAL(103,$H$8:H12))</f>
        <v/>
      </c>
      <c r="B12" s="3"/>
      <c r="C12" s="5"/>
      <c r="D12" s="3" t="str">
        <f t="shared" si="5"/>
        <v/>
      </c>
      <c r="E12" s="3"/>
      <c r="F12" s="3"/>
      <c r="G12" s="3"/>
      <c r="H12" s="4"/>
      <c r="I12" s="4"/>
      <c r="J12" s="4"/>
      <c r="L12" s="10" t="s">
        <v>17</v>
      </c>
      <c r="M12" s="11" t="s">
        <v>22</v>
      </c>
      <c r="N12" s="12">
        <f t="shared" si="6"/>
        <v>0</v>
      </c>
      <c r="O12" s="12">
        <f t="shared" si="7"/>
        <v>0</v>
      </c>
      <c r="P12" s="13">
        <f t="shared" si="8"/>
        <v>0</v>
      </c>
    </row>
    <row r="13" spans="1:16" ht="22" customHeight="1" x14ac:dyDescent="0.45">
      <c r="A13" s="6" t="str">
        <f>IF(COUNTA(H13:I13)=0,"",SUBTOTAL(103,$H$8:H13))</f>
        <v/>
      </c>
      <c r="B13" s="6"/>
      <c r="C13" s="8"/>
      <c r="D13" s="6" t="str">
        <f t="shared" si="5"/>
        <v/>
      </c>
      <c r="E13" s="6"/>
      <c r="F13" s="6"/>
      <c r="G13" s="6"/>
      <c r="H13" s="7"/>
      <c r="I13" s="7"/>
      <c r="J13" s="7"/>
      <c r="L13" s="10" t="s">
        <v>17</v>
      </c>
      <c r="M13" s="11" t="s">
        <v>23</v>
      </c>
      <c r="N13" s="12">
        <f t="shared" si="6"/>
        <v>0</v>
      </c>
      <c r="O13" s="12">
        <f t="shared" si="7"/>
        <v>0</v>
      </c>
      <c r="P13" s="13">
        <f t="shared" si="8"/>
        <v>0</v>
      </c>
    </row>
    <row r="14" spans="1:16" ht="22" customHeight="1" x14ac:dyDescent="0.45">
      <c r="A14" s="3" t="str">
        <f>IF(COUNTA(H14:I14)=0,"",SUBTOTAL(103,$H$8:H14))</f>
        <v/>
      </c>
      <c r="B14" s="3"/>
      <c r="C14" s="5"/>
      <c r="D14" s="3" t="str">
        <f t="shared" si="5"/>
        <v/>
      </c>
      <c r="E14" s="3"/>
      <c r="F14" s="3"/>
      <c r="G14" s="3"/>
      <c r="H14" s="4"/>
      <c r="I14" s="4"/>
      <c r="J14" s="4"/>
      <c r="L14" s="14" t="s">
        <v>24</v>
      </c>
      <c r="M14" s="11" t="s">
        <v>25</v>
      </c>
      <c r="N14" s="12">
        <f t="shared" si="6"/>
        <v>0</v>
      </c>
      <c r="O14" s="12">
        <f t="shared" si="7"/>
        <v>0</v>
      </c>
      <c r="P14" s="13">
        <f t="shared" si="8"/>
        <v>0</v>
      </c>
    </row>
    <row r="15" spans="1:16" ht="22" customHeight="1" x14ac:dyDescent="0.45">
      <c r="A15" s="6" t="str">
        <f>IF(COUNTA(H15:I15)=0,"",SUBTOTAL(103,$H$8:H15))</f>
        <v/>
      </c>
      <c r="B15" s="6"/>
      <c r="C15" s="8"/>
      <c r="D15" s="6" t="str">
        <f t="shared" si="5"/>
        <v/>
      </c>
      <c r="E15" s="6"/>
      <c r="F15" s="6"/>
      <c r="G15" s="6"/>
      <c r="H15" s="7"/>
      <c r="I15" s="7"/>
      <c r="J15" s="7"/>
      <c r="L15" s="14" t="s">
        <v>24</v>
      </c>
      <c r="M15" s="11" t="s">
        <v>26</v>
      </c>
      <c r="N15" s="12">
        <f t="shared" si="6"/>
        <v>0</v>
      </c>
      <c r="O15" s="12">
        <f t="shared" si="7"/>
        <v>0</v>
      </c>
      <c r="P15" s="13">
        <f t="shared" si="8"/>
        <v>0</v>
      </c>
    </row>
    <row r="16" spans="1:16" ht="22" customHeight="1" x14ac:dyDescent="0.45">
      <c r="A16" s="3" t="str">
        <f>IF(COUNTA(H16:I16)=0,"",SUBTOTAL(103,$H$8:H16))</f>
        <v/>
      </c>
      <c r="B16" s="3"/>
      <c r="C16" s="5"/>
      <c r="D16" s="3" t="str">
        <f t="shared" si="5"/>
        <v/>
      </c>
      <c r="E16" s="3"/>
      <c r="F16" s="3"/>
      <c r="G16" s="3"/>
      <c r="H16" s="4"/>
      <c r="I16" s="4"/>
      <c r="J16" s="4"/>
      <c r="L16" s="14" t="s">
        <v>24</v>
      </c>
      <c r="M16" s="11" t="s">
        <v>27</v>
      </c>
      <c r="N16" s="12">
        <f t="shared" si="6"/>
        <v>0</v>
      </c>
      <c r="O16" s="12">
        <f t="shared" si="7"/>
        <v>0</v>
      </c>
      <c r="P16" s="13">
        <f t="shared" si="8"/>
        <v>0</v>
      </c>
    </row>
    <row r="17" spans="1:16" ht="22" customHeight="1" x14ac:dyDescent="0.45">
      <c r="A17" s="6" t="str">
        <f>IF(COUNTA(H17:I17)=0,"",SUBTOTAL(103,$H$8:H17))</f>
        <v/>
      </c>
      <c r="B17" s="6"/>
      <c r="C17" s="8"/>
      <c r="D17" s="6" t="str">
        <f t="shared" si="5"/>
        <v/>
      </c>
      <c r="E17" s="6"/>
      <c r="F17" s="6"/>
      <c r="G17" s="6"/>
      <c r="H17" s="7"/>
      <c r="I17" s="7"/>
      <c r="J17" s="7"/>
      <c r="L17" s="14" t="s">
        <v>24</v>
      </c>
      <c r="M17" s="11" t="s">
        <v>28</v>
      </c>
      <c r="N17" s="12">
        <f t="shared" si="6"/>
        <v>0</v>
      </c>
      <c r="O17" s="12">
        <f t="shared" si="7"/>
        <v>0</v>
      </c>
      <c r="P17" s="13">
        <f t="shared" si="8"/>
        <v>0</v>
      </c>
    </row>
    <row r="18" spans="1:16" ht="22" customHeight="1" x14ac:dyDescent="0.45">
      <c r="A18" s="3" t="str">
        <f>IF(COUNTA(H18:I18)=0,"",SUBTOTAL(103,$H$8:H18))</f>
        <v/>
      </c>
      <c r="B18" s="3"/>
      <c r="C18" s="5"/>
      <c r="D18" s="3" t="str">
        <f t="shared" si="5"/>
        <v/>
      </c>
      <c r="E18" s="3"/>
      <c r="F18" s="3"/>
      <c r="G18" s="3"/>
      <c r="H18" s="4"/>
      <c r="I18" s="4"/>
      <c r="J18" s="4"/>
      <c r="L18" s="14" t="s">
        <v>24</v>
      </c>
      <c r="M18" s="11" t="s">
        <v>29</v>
      </c>
      <c r="N18" s="12">
        <f t="shared" si="6"/>
        <v>0</v>
      </c>
      <c r="O18" s="12">
        <f t="shared" si="7"/>
        <v>0</v>
      </c>
      <c r="P18" s="13">
        <f t="shared" si="8"/>
        <v>0</v>
      </c>
    </row>
    <row r="19" spans="1:16" ht="22" customHeight="1" x14ac:dyDescent="0.45">
      <c r="A19" s="6" t="str">
        <f>IF(COUNTA(H19:I19)=0,"",SUBTOTAL(103,$H$8:H19))</f>
        <v/>
      </c>
      <c r="B19" s="6"/>
      <c r="C19" s="8"/>
      <c r="D19" s="6" t="str">
        <f t="shared" si="5"/>
        <v/>
      </c>
      <c r="E19" s="6"/>
      <c r="F19" s="6"/>
      <c r="G19" s="6"/>
      <c r="H19" s="7"/>
      <c r="I19" s="7"/>
      <c r="J19" s="7"/>
      <c r="L19" s="14" t="s">
        <v>24</v>
      </c>
      <c r="M19" s="11" t="s">
        <v>30</v>
      </c>
      <c r="N19" s="12">
        <f t="shared" si="6"/>
        <v>0</v>
      </c>
      <c r="O19" s="12">
        <f t="shared" si="7"/>
        <v>0</v>
      </c>
      <c r="P19" s="13">
        <f t="shared" si="8"/>
        <v>0</v>
      </c>
    </row>
    <row r="20" spans="1:16" ht="22" customHeight="1" x14ac:dyDescent="0.45">
      <c r="A20" s="3" t="str">
        <f>IF(COUNTA(H20:I20)=0,"",SUBTOTAL(103,$H$8:H20))</f>
        <v/>
      </c>
      <c r="B20" s="3"/>
      <c r="C20" s="5"/>
      <c r="D20" s="3" t="str">
        <f t="shared" si="5"/>
        <v/>
      </c>
      <c r="E20" s="3"/>
      <c r="F20" s="3"/>
      <c r="G20" s="3"/>
      <c r="H20" s="4"/>
      <c r="I20" s="4"/>
      <c r="J20" s="4"/>
      <c r="L20" s="18" t="s">
        <v>31</v>
      </c>
      <c r="M20" s="18"/>
      <c r="N20" s="15">
        <f>SUM(N8:N19)</f>
        <v>0</v>
      </c>
      <c r="O20" s="15">
        <f>SUM(O8:O19)</f>
        <v>0</v>
      </c>
      <c r="P20" s="15">
        <f>SUM(P8:P19)</f>
        <v>0</v>
      </c>
    </row>
    <row r="21" spans="1:16" ht="22" customHeight="1" x14ac:dyDescent="0.45">
      <c r="A21" s="6" t="str">
        <f>IF(COUNTA(H21:I21)=0,"",SUBTOTAL(103,$H$8:H21))</f>
        <v/>
      </c>
      <c r="B21" s="6"/>
      <c r="C21" s="8"/>
      <c r="D21" s="6" t="str">
        <f t="shared" si="5"/>
        <v/>
      </c>
      <c r="E21" s="6"/>
      <c r="F21" s="6"/>
      <c r="G21" s="6"/>
      <c r="H21" s="7"/>
      <c r="I21" s="7"/>
      <c r="J21" s="7"/>
    </row>
    <row r="22" spans="1:16" ht="22" customHeight="1" x14ac:dyDescent="0.45">
      <c r="A22" s="3" t="str">
        <f>IF(COUNTA(H22:I22)=0,"",SUBTOTAL(103,$H$8:H22))</f>
        <v/>
      </c>
      <c r="B22" s="3"/>
      <c r="C22" s="5"/>
      <c r="D22" s="3" t="str">
        <f t="shared" si="5"/>
        <v/>
      </c>
      <c r="E22" s="3"/>
      <c r="F22" s="3"/>
      <c r="G22" s="3"/>
      <c r="H22" s="4"/>
      <c r="I22" s="4"/>
      <c r="J22" s="4"/>
    </row>
    <row r="23" spans="1:16" ht="22" customHeight="1" x14ac:dyDescent="0.45">
      <c r="A23" s="6" t="str">
        <f>IF(COUNTA(H23:I23)=0,"",SUBTOTAL(103,$H$8:H23))</f>
        <v/>
      </c>
      <c r="B23" s="6"/>
      <c r="C23" s="8"/>
      <c r="D23" s="6" t="str">
        <f t="shared" si="5"/>
        <v/>
      </c>
      <c r="E23" s="6"/>
      <c r="F23" s="6"/>
      <c r="G23" s="6"/>
      <c r="H23" s="7"/>
      <c r="I23" s="7"/>
      <c r="J23" s="7"/>
    </row>
    <row r="24" spans="1:16" ht="22" customHeight="1" x14ac:dyDescent="0.45">
      <c r="A24" s="3" t="str">
        <f>IF(COUNTA(H24:I24)=0,"",SUBTOTAL(103,$H$8:H24))</f>
        <v/>
      </c>
      <c r="B24" s="3"/>
      <c r="C24" s="5"/>
      <c r="D24" s="3" t="str">
        <f t="shared" si="5"/>
        <v/>
      </c>
      <c r="E24" s="3"/>
      <c r="F24" s="3"/>
      <c r="G24" s="3"/>
      <c r="H24" s="4"/>
      <c r="I24" s="4"/>
      <c r="J24" s="4"/>
    </row>
    <row r="25" spans="1:16" ht="22" customHeight="1" x14ac:dyDescent="0.45">
      <c r="A25" s="6" t="str">
        <f>IF(COUNTA(H25:I25)=0,"",SUBTOTAL(103,$H$8:H25))</f>
        <v/>
      </c>
      <c r="B25" s="6"/>
      <c r="C25" s="8"/>
      <c r="D25" s="6" t="str">
        <f t="shared" si="5"/>
        <v/>
      </c>
      <c r="E25" s="6"/>
      <c r="F25" s="6"/>
      <c r="G25" s="6"/>
      <c r="H25" s="7"/>
      <c r="I25" s="7"/>
      <c r="J25" s="7"/>
    </row>
    <row r="26" spans="1:16" ht="22" customHeight="1" x14ac:dyDescent="0.45">
      <c r="A26" s="3" t="str">
        <f>IF(COUNTA(H26:I26)=0,"",SUBTOTAL(103,$H$8:H26))</f>
        <v/>
      </c>
      <c r="B26" s="3"/>
      <c r="C26" s="5"/>
      <c r="D26" s="3" t="str">
        <f t="shared" si="5"/>
        <v/>
      </c>
      <c r="E26" s="3"/>
      <c r="F26" s="3"/>
      <c r="G26" s="3"/>
      <c r="H26" s="4"/>
      <c r="I26" s="4"/>
      <c r="J26" s="4"/>
    </row>
    <row r="27" spans="1:16" ht="22" customHeight="1" x14ac:dyDescent="0.45">
      <c r="A27" s="6" t="str">
        <f>IF(COUNTA(H27:I27)=0,"",SUBTOTAL(103,$H$8:H27))</f>
        <v/>
      </c>
      <c r="B27" s="6"/>
      <c r="C27" s="8"/>
      <c r="D27" s="6" t="str">
        <f t="shared" si="5"/>
        <v/>
      </c>
      <c r="E27" s="6"/>
      <c r="F27" s="6"/>
      <c r="G27" s="6"/>
      <c r="H27" s="7"/>
      <c r="I27" s="7"/>
      <c r="J27" s="7"/>
    </row>
    <row r="28" spans="1:16" ht="22" customHeight="1" x14ac:dyDescent="0.45">
      <c r="A28" s="3" t="str">
        <f>IF(COUNTA(H28:I28)=0,"",SUBTOTAL(103,$H$8:H28))</f>
        <v/>
      </c>
      <c r="B28" s="3"/>
      <c r="C28" s="5"/>
      <c r="D28" s="3" t="str">
        <f t="shared" si="5"/>
        <v/>
      </c>
      <c r="E28" s="3"/>
      <c r="F28" s="3"/>
      <c r="G28" s="3"/>
      <c r="H28" s="4"/>
      <c r="I28" s="4"/>
      <c r="J28" s="4"/>
    </row>
    <row r="29" spans="1:16" ht="22" customHeight="1" x14ac:dyDescent="0.45">
      <c r="A29" s="6" t="str">
        <f>IF(COUNTA(H29:I29)=0,"",SUBTOTAL(103,$H$8:H29))</f>
        <v/>
      </c>
      <c r="B29" s="6"/>
      <c r="C29" s="8"/>
      <c r="D29" s="6" t="str">
        <f t="shared" si="5"/>
        <v/>
      </c>
      <c r="E29" s="6"/>
      <c r="F29" s="6"/>
      <c r="G29" s="6"/>
      <c r="H29" s="7"/>
      <c r="I29" s="7"/>
      <c r="J29" s="7"/>
    </row>
    <row r="30" spans="1:16" ht="22" customHeight="1" x14ac:dyDescent="0.45">
      <c r="A30" s="3" t="str">
        <f>IF(COUNTA(H30:I30)=0,"",SUBTOTAL(103,$H$8:H30))</f>
        <v/>
      </c>
      <c r="B30" s="3"/>
      <c r="C30" s="5"/>
      <c r="D30" s="3" t="str">
        <f t="shared" si="5"/>
        <v/>
      </c>
      <c r="E30" s="3"/>
      <c r="F30" s="3"/>
      <c r="G30" s="3"/>
      <c r="H30" s="4"/>
      <c r="I30" s="4"/>
      <c r="J30" s="4"/>
    </row>
    <row r="31" spans="1:16" ht="22" customHeight="1" x14ac:dyDescent="0.45">
      <c r="A31" s="6" t="str">
        <f>IF(COUNTA(H31:I31)=0,"",SUBTOTAL(103,$H$8:H31))</f>
        <v/>
      </c>
      <c r="B31" s="6"/>
      <c r="C31" s="8"/>
      <c r="D31" s="6" t="str">
        <f t="shared" si="5"/>
        <v/>
      </c>
      <c r="E31" s="6"/>
      <c r="F31" s="6"/>
      <c r="G31" s="6"/>
      <c r="H31" s="7"/>
      <c r="I31" s="7"/>
      <c r="J31" s="7"/>
    </row>
    <row r="32" spans="1:16" ht="22" customHeight="1" x14ac:dyDescent="0.45">
      <c r="A32" s="3" t="str">
        <f>IF(COUNTA(H32:I32)=0,"",SUBTOTAL(103,$H$8:H32))</f>
        <v/>
      </c>
      <c r="B32" s="3"/>
      <c r="C32" s="5"/>
      <c r="D32" s="3" t="str">
        <f t="shared" si="5"/>
        <v/>
      </c>
      <c r="E32" s="3"/>
      <c r="F32" s="3"/>
      <c r="G32" s="3"/>
      <c r="H32" s="4"/>
      <c r="I32" s="4"/>
      <c r="J32" s="4"/>
    </row>
    <row r="33" spans="1:10" ht="22" customHeight="1" x14ac:dyDescent="0.45">
      <c r="A33" s="6" t="str">
        <f>IF(COUNTA(H33:I33)=0,"",SUBTOTAL(103,$H$8:H33))</f>
        <v/>
      </c>
      <c r="B33" s="6"/>
      <c r="C33" s="8"/>
      <c r="D33" s="6" t="str">
        <f t="shared" si="5"/>
        <v/>
      </c>
      <c r="E33" s="6"/>
      <c r="F33" s="6"/>
      <c r="G33" s="6"/>
      <c r="H33" s="7"/>
      <c r="I33" s="7"/>
      <c r="J33" s="7"/>
    </row>
    <row r="34" spans="1:10" ht="22" customHeight="1" x14ac:dyDescent="0.45">
      <c r="A34" s="3" t="str">
        <f>IF(COUNTA(H34:I34)=0,"",SUBTOTAL(103,$H$8:H34))</f>
        <v/>
      </c>
      <c r="B34" s="3"/>
      <c r="C34" s="5"/>
      <c r="D34" s="3" t="str">
        <f t="shared" si="5"/>
        <v/>
      </c>
      <c r="E34" s="3"/>
      <c r="F34" s="3"/>
      <c r="G34" s="3"/>
      <c r="H34" s="4"/>
      <c r="I34" s="4"/>
      <c r="J34" s="4"/>
    </row>
    <row r="35" spans="1:10" ht="22" customHeight="1" x14ac:dyDescent="0.45">
      <c r="A35" s="6" t="str">
        <f>IF(COUNTA(H35:I35)=0,"",SUBTOTAL(103,$H$8:H35))</f>
        <v/>
      </c>
      <c r="B35" s="6"/>
      <c r="C35" s="8"/>
      <c r="D35" s="6" t="str">
        <f t="shared" si="5"/>
        <v/>
      </c>
      <c r="E35" s="6"/>
      <c r="F35" s="6"/>
      <c r="G35" s="6"/>
      <c r="H35" s="7"/>
      <c r="I35" s="7"/>
      <c r="J35" s="7"/>
    </row>
    <row r="36" spans="1:10" ht="22" customHeight="1" x14ac:dyDescent="0.45">
      <c r="A36" s="3" t="str">
        <f>IF(COUNTA(H36:I36)=0,"",SUBTOTAL(103,$H$8:H36))</f>
        <v/>
      </c>
      <c r="B36" s="3"/>
      <c r="C36" s="5"/>
      <c r="D36" s="3" t="str">
        <f t="shared" si="5"/>
        <v/>
      </c>
      <c r="E36" s="3"/>
      <c r="F36" s="3"/>
      <c r="G36" s="3"/>
      <c r="H36" s="4"/>
      <c r="I36" s="4"/>
      <c r="J36" s="4"/>
    </row>
    <row r="37" spans="1:10" ht="22" customHeight="1" x14ac:dyDescent="0.45">
      <c r="A37" s="6" t="str">
        <f>IF(COUNTA(H37:I37)=0,"",SUBTOTAL(103,$H$8:H37))</f>
        <v/>
      </c>
      <c r="B37" s="6"/>
      <c r="C37" s="8"/>
      <c r="D37" s="6" t="str">
        <f t="shared" si="5"/>
        <v/>
      </c>
      <c r="E37" s="6"/>
      <c r="F37" s="6"/>
      <c r="G37" s="6"/>
      <c r="H37" s="7"/>
      <c r="I37" s="7"/>
      <c r="J37" s="7"/>
    </row>
    <row r="38" spans="1:10" ht="22" customHeight="1" x14ac:dyDescent="0.45">
      <c r="A38" s="3" t="str">
        <f>IF(COUNTA(H38:I38)=0,"",SUBTOTAL(103,$H$8:H38))</f>
        <v/>
      </c>
      <c r="B38" s="3"/>
      <c r="C38" s="5"/>
      <c r="D38" s="3" t="str">
        <f t="shared" si="5"/>
        <v/>
      </c>
      <c r="E38" s="3"/>
      <c r="F38" s="3"/>
      <c r="G38" s="3"/>
      <c r="H38" s="4"/>
      <c r="I38" s="4"/>
      <c r="J38" s="4"/>
    </row>
    <row r="39" spans="1:10" ht="22" customHeight="1" x14ac:dyDescent="0.45">
      <c r="A39" s="6" t="str">
        <f>IF(COUNTA(H39:I39)=0,"",SUBTOTAL(103,$H$8:H39))</f>
        <v/>
      </c>
      <c r="B39" s="6"/>
      <c r="C39" s="8"/>
      <c r="D39" s="6" t="str">
        <f t="shared" si="5"/>
        <v/>
      </c>
      <c r="E39" s="6"/>
      <c r="F39" s="6"/>
      <c r="G39" s="6"/>
      <c r="H39" s="7"/>
      <c r="I39" s="7"/>
      <c r="J39" s="7"/>
    </row>
    <row r="40" spans="1:10" ht="22" customHeight="1" x14ac:dyDescent="0.45">
      <c r="A40" s="3" t="str">
        <f>IF(COUNTA(H40:I40)=0,"",SUBTOTAL(103,$H$8:H40))</f>
        <v/>
      </c>
      <c r="B40" s="3"/>
      <c r="C40" s="5"/>
      <c r="D40" s="3" t="str">
        <f t="shared" ref="D40:D71" si="9">IF(E40="","",IF(ISNUMBER(FIND(E40,"요미우리,야쿠르트,DeNA,주니치,한신,히로시마")),"센트럴","퍼시픽"))</f>
        <v/>
      </c>
      <c r="E40" s="3"/>
      <c r="F40" s="3"/>
      <c r="G40" s="3"/>
      <c r="H40" s="4"/>
      <c r="I40" s="4"/>
      <c r="J40" s="4"/>
    </row>
    <row r="41" spans="1:10" ht="22" customHeight="1" x14ac:dyDescent="0.45">
      <c r="A41" s="6" t="str">
        <f>IF(COUNTA(H41:I41)=0,"",SUBTOTAL(103,$H$8:H41))</f>
        <v/>
      </c>
      <c r="B41" s="6"/>
      <c r="C41" s="8"/>
      <c r="D41" s="6" t="str">
        <f t="shared" si="9"/>
        <v/>
      </c>
      <c r="E41" s="6"/>
      <c r="F41" s="6"/>
      <c r="G41" s="6"/>
      <c r="H41" s="7"/>
      <c r="I41" s="7"/>
      <c r="J41" s="7"/>
    </row>
    <row r="42" spans="1:10" ht="22" customHeight="1" x14ac:dyDescent="0.45">
      <c r="A42" s="3" t="str">
        <f>IF(COUNTA(H42:I42)=0,"",SUBTOTAL(103,$H$8:H42))</f>
        <v/>
      </c>
      <c r="B42" s="3"/>
      <c r="C42" s="5"/>
      <c r="D42" s="3" t="str">
        <f t="shared" si="9"/>
        <v/>
      </c>
      <c r="E42" s="3"/>
      <c r="F42" s="3"/>
      <c r="G42" s="3"/>
      <c r="H42" s="4"/>
      <c r="I42" s="4"/>
      <c r="J42" s="4"/>
    </row>
    <row r="43" spans="1:10" ht="22" customHeight="1" x14ac:dyDescent="0.45">
      <c r="A43" s="6" t="str">
        <f>IF(COUNTA(H43:I43)=0,"",SUBTOTAL(103,$H$8:H43))</f>
        <v/>
      </c>
      <c r="B43" s="6"/>
      <c r="C43" s="8"/>
      <c r="D43" s="6" t="str">
        <f t="shared" si="9"/>
        <v/>
      </c>
      <c r="E43" s="6"/>
      <c r="F43" s="6"/>
      <c r="G43" s="6"/>
      <c r="H43" s="7"/>
      <c r="I43" s="7"/>
      <c r="J43" s="7"/>
    </row>
    <row r="44" spans="1:10" ht="22" customHeight="1" x14ac:dyDescent="0.45">
      <c r="A44" s="3" t="str">
        <f>IF(COUNTA(H44:I44)=0,"",SUBTOTAL(103,$H$8:H44))</f>
        <v/>
      </c>
      <c r="B44" s="3"/>
      <c r="C44" s="5"/>
      <c r="D44" s="3" t="str">
        <f t="shared" si="9"/>
        <v/>
      </c>
      <c r="E44" s="3"/>
      <c r="F44" s="3"/>
      <c r="G44" s="3"/>
      <c r="H44" s="4"/>
      <c r="I44" s="4"/>
      <c r="J44" s="4"/>
    </row>
    <row r="45" spans="1:10" ht="22" customHeight="1" x14ac:dyDescent="0.45">
      <c r="A45" s="6" t="str">
        <f>IF(COUNTA(H45:I45)=0,"",SUBTOTAL(103,$H$8:H45))</f>
        <v/>
      </c>
      <c r="B45" s="6"/>
      <c r="C45" s="8"/>
      <c r="D45" s="6" t="str">
        <f t="shared" si="9"/>
        <v/>
      </c>
      <c r="E45" s="6"/>
      <c r="F45" s="6"/>
      <c r="G45" s="6"/>
      <c r="H45" s="7"/>
      <c r="I45" s="7"/>
      <c r="J45" s="7"/>
    </row>
    <row r="46" spans="1:10" ht="22" customHeight="1" x14ac:dyDescent="0.45">
      <c r="A46" s="3" t="str">
        <f>IF(COUNTA(H46:I46)=0,"",SUBTOTAL(103,$H$8:H46))</f>
        <v/>
      </c>
      <c r="B46" s="3"/>
      <c r="C46" s="5"/>
      <c r="D46" s="3" t="str">
        <f t="shared" si="9"/>
        <v/>
      </c>
      <c r="E46" s="3"/>
      <c r="F46" s="3"/>
      <c r="G46" s="3"/>
      <c r="H46" s="4"/>
      <c r="I46" s="4"/>
      <c r="J46" s="4"/>
    </row>
    <row r="47" spans="1:10" ht="22" customHeight="1" x14ac:dyDescent="0.45">
      <c r="A47" s="6" t="str">
        <f>IF(COUNTA(H47:I47)=0,"",SUBTOTAL(103,$H$8:H47))</f>
        <v/>
      </c>
      <c r="B47" s="6"/>
      <c r="C47" s="8"/>
      <c r="D47" s="6" t="str">
        <f t="shared" si="9"/>
        <v/>
      </c>
      <c r="E47" s="6"/>
      <c r="F47" s="6"/>
      <c r="G47" s="6"/>
      <c r="H47" s="7"/>
      <c r="I47" s="7"/>
      <c r="J47" s="7"/>
    </row>
    <row r="48" spans="1:10" ht="22" customHeight="1" x14ac:dyDescent="0.45">
      <c r="A48" s="3" t="str">
        <f>IF(COUNTA(H48:I48)=0,"",SUBTOTAL(103,$H$8:H48))</f>
        <v/>
      </c>
      <c r="B48" s="3"/>
      <c r="C48" s="5"/>
      <c r="D48" s="3" t="str">
        <f t="shared" si="9"/>
        <v/>
      </c>
      <c r="E48" s="3"/>
      <c r="F48" s="3"/>
      <c r="G48" s="3"/>
      <c r="H48" s="4"/>
      <c r="I48" s="4"/>
      <c r="J48" s="4"/>
    </row>
    <row r="49" spans="1:10" ht="22" customHeight="1" x14ac:dyDescent="0.45">
      <c r="A49" s="6" t="str">
        <f>IF(COUNTA(H49:I49)=0,"",SUBTOTAL(103,$H$8:H49))</f>
        <v/>
      </c>
      <c r="B49" s="6"/>
      <c r="C49" s="8"/>
      <c r="D49" s="6" t="str">
        <f t="shared" si="9"/>
        <v/>
      </c>
      <c r="E49" s="6"/>
      <c r="F49" s="6"/>
      <c r="G49" s="6"/>
      <c r="H49" s="7"/>
      <c r="I49" s="7"/>
      <c r="J49" s="7"/>
    </row>
    <row r="50" spans="1:10" ht="22" customHeight="1" x14ac:dyDescent="0.45">
      <c r="A50" s="3" t="str">
        <f>IF(COUNTA(H50:I50)=0,"",SUBTOTAL(103,$H$8:H50))</f>
        <v/>
      </c>
      <c r="B50" s="3"/>
      <c r="C50" s="5"/>
      <c r="D50" s="3" t="str">
        <f t="shared" si="9"/>
        <v/>
      </c>
      <c r="E50" s="3"/>
      <c r="F50" s="3"/>
      <c r="G50" s="3"/>
      <c r="H50" s="4"/>
      <c r="I50" s="4"/>
      <c r="J50" s="4"/>
    </row>
    <row r="51" spans="1:10" ht="22" customHeight="1" x14ac:dyDescent="0.45">
      <c r="A51" s="6" t="str">
        <f>IF(COUNTA(H51:I51)=0,"",SUBTOTAL(103,$H$8:H51))</f>
        <v/>
      </c>
      <c r="B51" s="6"/>
      <c r="C51" s="8"/>
      <c r="D51" s="6" t="str">
        <f t="shared" si="9"/>
        <v/>
      </c>
      <c r="E51" s="6"/>
      <c r="F51" s="6"/>
      <c r="G51" s="6"/>
      <c r="H51" s="7"/>
      <c r="I51" s="7"/>
      <c r="J51" s="7"/>
    </row>
    <row r="52" spans="1:10" ht="22" customHeight="1" x14ac:dyDescent="0.45">
      <c r="A52" s="3" t="str">
        <f>IF(COUNTA(H52:I52)=0,"",SUBTOTAL(103,$H$8:H52))</f>
        <v/>
      </c>
      <c r="B52" s="3"/>
      <c r="C52" s="5"/>
      <c r="D52" s="3" t="str">
        <f t="shared" si="9"/>
        <v/>
      </c>
      <c r="E52" s="3"/>
      <c r="F52" s="3"/>
      <c r="G52" s="3"/>
      <c r="H52" s="4"/>
      <c r="I52" s="4"/>
      <c r="J52" s="4"/>
    </row>
    <row r="53" spans="1:10" ht="22" customHeight="1" x14ac:dyDescent="0.45">
      <c r="A53" s="6" t="str">
        <f>IF(COUNTA(H53:I53)=0,"",SUBTOTAL(103,$H$8:H53))</f>
        <v/>
      </c>
      <c r="B53" s="6"/>
      <c r="C53" s="8"/>
      <c r="D53" s="6" t="str">
        <f t="shared" si="9"/>
        <v/>
      </c>
      <c r="E53" s="6"/>
      <c r="F53" s="6"/>
      <c r="G53" s="6"/>
      <c r="H53" s="7"/>
      <c r="I53" s="7"/>
      <c r="J53" s="7"/>
    </row>
    <row r="54" spans="1:10" ht="22" customHeight="1" x14ac:dyDescent="0.45">
      <c r="A54" s="3" t="str">
        <f>IF(COUNTA(H54:I54)=0,"",SUBTOTAL(103,$H$8:H54))</f>
        <v/>
      </c>
      <c r="B54" s="3"/>
      <c r="C54" s="5"/>
      <c r="D54" s="3" t="str">
        <f t="shared" si="9"/>
        <v/>
      </c>
      <c r="E54" s="3"/>
      <c r="F54" s="3"/>
      <c r="G54" s="3"/>
      <c r="H54" s="4"/>
      <c r="I54" s="4"/>
      <c r="J54" s="4"/>
    </row>
    <row r="55" spans="1:10" ht="22" customHeight="1" x14ac:dyDescent="0.45">
      <c r="A55" s="6" t="str">
        <f>IF(COUNTA(H55:I55)=0,"",SUBTOTAL(103,$H$8:H55))</f>
        <v/>
      </c>
      <c r="B55" s="6"/>
      <c r="C55" s="8"/>
      <c r="D55" s="6" t="str">
        <f t="shared" si="9"/>
        <v/>
      </c>
      <c r="E55" s="6"/>
      <c r="F55" s="6"/>
      <c r="G55" s="6"/>
      <c r="H55" s="7"/>
      <c r="I55" s="7"/>
      <c r="J55" s="7"/>
    </row>
    <row r="56" spans="1:10" ht="22" customHeight="1" x14ac:dyDescent="0.45">
      <c r="A56" s="3" t="str">
        <f>IF(COUNTA(H56:I56)=0,"",SUBTOTAL(103,$H$8:H56))</f>
        <v/>
      </c>
      <c r="B56" s="3"/>
      <c r="C56" s="5"/>
      <c r="D56" s="3" t="str">
        <f t="shared" si="9"/>
        <v/>
      </c>
      <c r="E56" s="3"/>
      <c r="F56" s="3"/>
      <c r="G56" s="3"/>
      <c r="H56" s="4"/>
      <c r="I56" s="4"/>
      <c r="J56" s="4"/>
    </row>
    <row r="57" spans="1:10" ht="22" customHeight="1" x14ac:dyDescent="0.45">
      <c r="A57" s="6" t="str">
        <f>IF(COUNTA(H57:I57)=0,"",SUBTOTAL(103,$H$8:H57))</f>
        <v/>
      </c>
      <c r="B57" s="6"/>
      <c r="C57" s="8"/>
      <c r="D57" s="6" t="str">
        <f t="shared" si="9"/>
        <v/>
      </c>
      <c r="E57" s="6"/>
      <c r="F57" s="6"/>
      <c r="G57" s="6"/>
      <c r="H57" s="7"/>
      <c r="I57" s="7"/>
      <c r="J57" s="7"/>
    </row>
    <row r="58" spans="1:10" ht="22" customHeight="1" x14ac:dyDescent="0.45">
      <c r="A58" s="3" t="str">
        <f>IF(COUNTA(H58:I58)=0,"",SUBTOTAL(103,$H$8:H58))</f>
        <v/>
      </c>
      <c r="B58" s="3"/>
      <c r="C58" s="5"/>
      <c r="D58" s="3" t="str">
        <f t="shared" si="9"/>
        <v/>
      </c>
      <c r="E58" s="3"/>
      <c r="F58" s="3"/>
      <c r="G58" s="3"/>
      <c r="H58" s="4"/>
      <c r="I58" s="4"/>
      <c r="J58" s="4"/>
    </row>
    <row r="59" spans="1:10" ht="22" customHeight="1" x14ac:dyDescent="0.45">
      <c r="A59" s="6" t="str">
        <f>IF(COUNTA(H59:I59)=0,"",SUBTOTAL(103,$H$8:H59))</f>
        <v/>
      </c>
      <c r="B59" s="6"/>
      <c r="C59" s="8"/>
      <c r="D59" s="6" t="str">
        <f t="shared" si="9"/>
        <v/>
      </c>
      <c r="E59" s="6"/>
      <c r="F59" s="6"/>
      <c r="G59" s="6"/>
      <c r="H59" s="7"/>
      <c r="I59" s="7"/>
      <c r="J59" s="7"/>
    </row>
    <row r="60" spans="1:10" ht="22" customHeight="1" x14ac:dyDescent="0.45">
      <c r="A60" s="3" t="str">
        <f>IF(COUNTA(H60:I60)=0,"",SUBTOTAL(103,$H$8:H60))</f>
        <v/>
      </c>
      <c r="B60" s="3"/>
      <c r="C60" s="5"/>
      <c r="D60" s="3" t="str">
        <f t="shared" si="9"/>
        <v/>
      </c>
      <c r="E60" s="3"/>
      <c r="F60" s="3"/>
      <c r="G60" s="3"/>
      <c r="H60" s="4"/>
      <c r="I60" s="4"/>
      <c r="J60" s="4"/>
    </row>
    <row r="61" spans="1:10" ht="22" customHeight="1" x14ac:dyDescent="0.45">
      <c r="A61" s="6" t="str">
        <f>IF(COUNTA(H61:I61)=0,"",SUBTOTAL(103,$H$8:H61))</f>
        <v/>
      </c>
      <c r="B61" s="6"/>
      <c r="C61" s="8"/>
      <c r="D61" s="6" t="str">
        <f t="shared" si="9"/>
        <v/>
      </c>
      <c r="E61" s="6"/>
      <c r="F61" s="6"/>
      <c r="G61" s="6"/>
      <c r="H61" s="7"/>
      <c r="I61" s="7"/>
      <c r="J61" s="7"/>
    </row>
    <row r="62" spans="1:10" ht="22" customHeight="1" x14ac:dyDescent="0.45">
      <c r="A62" s="3" t="str">
        <f>IF(COUNTA(H62:I62)=0,"",SUBTOTAL(103,$H$8:H62))</f>
        <v/>
      </c>
      <c r="B62" s="3"/>
      <c r="C62" s="5"/>
      <c r="D62" s="3" t="str">
        <f t="shared" si="9"/>
        <v/>
      </c>
      <c r="E62" s="3"/>
      <c r="F62" s="3"/>
      <c r="G62" s="3"/>
      <c r="H62" s="4"/>
      <c r="I62" s="4"/>
      <c r="J62" s="4"/>
    </row>
    <row r="63" spans="1:10" ht="22" customHeight="1" x14ac:dyDescent="0.45">
      <c r="A63" s="6" t="str">
        <f>IF(COUNTA(H63:I63)=0,"",SUBTOTAL(103,$H$8:H63))</f>
        <v/>
      </c>
      <c r="B63" s="6"/>
      <c r="C63" s="8"/>
      <c r="D63" s="6" t="str">
        <f t="shared" si="9"/>
        <v/>
      </c>
      <c r="E63" s="6"/>
      <c r="F63" s="6"/>
      <c r="G63" s="6"/>
      <c r="H63" s="7"/>
      <c r="I63" s="7"/>
      <c r="J63" s="7"/>
    </row>
    <row r="64" spans="1:10" ht="22" customHeight="1" x14ac:dyDescent="0.45">
      <c r="A64" s="3" t="str">
        <f>IF(COUNTA(H64:I64)=0,"",SUBTOTAL(103,$H$8:H64))</f>
        <v/>
      </c>
      <c r="B64" s="3"/>
      <c r="C64" s="5"/>
      <c r="D64" s="3" t="str">
        <f t="shared" si="9"/>
        <v/>
      </c>
      <c r="E64" s="3"/>
      <c r="F64" s="3"/>
      <c r="G64" s="3"/>
      <c r="H64" s="4"/>
      <c r="I64" s="4"/>
      <c r="J64" s="4"/>
    </row>
    <row r="65" spans="1:10" ht="22" customHeight="1" x14ac:dyDescent="0.45">
      <c r="A65" s="6" t="str">
        <f>IF(COUNTA(H65:I65)=0,"",SUBTOTAL(103,$H$8:H65))</f>
        <v/>
      </c>
      <c r="B65" s="6"/>
      <c r="C65" s="8"/>
      <c r="D65" s="6" t="str">
        <f t="shared" si="9"/>
        <v/>
      </c>
      <c r="E65" s="6"/>
      <c r="F65" s="6"/>
      <c r="G65" s="6"/>
      <c r="H65" s="7"/>
      <c r="I65" s="7"/>
      <c r="J65" s="7"/>
    </row>
    <row r="66" spans="1:10" ht="22" customHeight="1" x14ac:dyDescent="0.45">
      <c r="A66" s="3" t="str">
        <f>IF(COUNTA(H66:I66)=0,"",SUBTOTAL(103,$H$8:H66))</f>
        <v/>
      </c>
      <c r="B66" s="3"/>
      <c r="C66" s="5"/>
      <c r="D66" s="3" t="str">
        <f t="shared" si="9"/>
        <v/>
      </c>
      <c r="E66" s="3"/>
      <c r="F66" s="3"/>
      <c r="G66" s="3"/>
      <c r="H66" s="4"/>
      <c r="I66" s="4"/>
      <c r="J66" s="4"/>
    </row>
    <row r="67" spans="1:10" ht="22" customHeight="1" x14ac:dyDescent="0.45">
      <c r="A67" s="6" t="str">
        <f>IF(COUNTA(H67:I67)=0,"",SUBTOTAL(103,$H$8:H67))</f>
        <v/>
      </c>
      <c r="B67" s="6"/>
      <c r="C67" s="8"/>
      <c r="D67" s="6" t="str">
        <f t="shared" si="9"/>
        <v/>
      </c>
      <c r="E67" s="6"/>
      <c r="F67" s="6"/>
      <c r="G67" s="6"/>
      <c r="H67" s="7"/>
      <c r="I67" s="7"/>
      <c r="J67" s="7"/>
    </row>
    <row r="68" spans="1:10" ht="22" customHeight="1" x14ac:dyDescent="0.45">
      <c r="A68" s="3" t="str">
        <f>IF(COUNTA(H68:I68)=0,"",SUBTOTAL(103,$H$8:H68))</f>
        <v/>
      </c>
      <c r="B68" s="3"/>
      <c r="C68" s="5"/>
      <c r="D68" s="3" t="str">
        <f t="shared" si="9"/>
        <v/>
      </c>
      <c r="E68" s="3"/>
      <c r="F68" s="3"/>
      <c r="G68" s="3"/>
      <c r="H68" s="4"/>
      <c r="I68" s="4"/>
      <c r="J68" s="4"/>
    </row>
    <row r="69" spans="1:10" ht="22" customHeight="1" x14ac:dyDescent="0.45">
      <c r="A69" s="6" t="str">
        <f>IF(COUNTA(H69:I69)=0,"",SUBTOTAL(103,$H$8:H69))</f>
        <v/>
      </c>
      <c r="B69" s="6"/>
      <c r="C69" s="8"/>
      <c r="D69" s="6" t="str">
        <f t="shared" si="9"/>
        <v/>
      </c>
      <c r="E69" s="6"/>
      <c r="F69" s="6"/>
      <c r="G69" s="6"/>
      <c r="H69" s="7"/>
      <c r="I69" s="7"/>
      <c r="J69" s="7"/>
    </row>
    <row r="70" spans="1:10" ht="22" customHeight="1" x14ac:dyDescent="0.45">
      <c r="A70" s="3" t="str">
        <f>IF(COUNTA(H70:I70)=0,"",SUBTOTAL(103,$H$8:H70))</f>
        <v/>
      </c>
      <c r="B70" s="3"/>
      <c r="C70" s="5"/>
      <c r="D70" s="3" t="str">
        <f t="shared" si="9"/>
        <v/>
      </c>
      <c r="E70" s="3"/>
      <c r="F70" s="3"/>
      <c r="G70" s="3"/>
      <c r="H70" s="4"/>
      <c r="I70" s="4"/>
      <c r="J70" s="4"/>
    </row>
    <row r="71" spans="1:10" ht="22" customHeight="1" x14ac:dyDescent="0.45">
      <c r="A71" s="6" t="str">
        <f>IF(COUNTA(H71:I71)=0,"",SUBTOTAL(103,$H$8:H71))</f>
        <v/>
      </c>
      <c r="B71" s="6"/>
      <c r="C71" s="8"/>
      <c r="D71" s="6" t="str">
        <f t="shared" si="9"/>
        <v/>
      </c>
      <c r="E71" s="6"/>
      <c r="F71" s="6"/>
      <c r="G71" s="6"/>
      <c r="H71" s="7"/>
      <c r="I71" s="7"/>
      <c r="J71" s="7"/>
    </row>
    <row r="72" spans="1:10" ht="22" customHeight="1" x14ac:dyDescent="0.45">
      <c r="A72" s="3" t="str">
        <f>IF(COUNTA(H72:I72)=0,"",SUBTOTAL(103,$H$8:H72))</f>
        <v/>
      </c>
      <c r="B72" s="3"/>
      <c r="C72" s="5"/>
      <c r="D72" s="3" t="str">
        <f t="shared" ref="D72:D103" si="10">IF(E72="","",IF(ISNUMBER(FIND(E72,"요미우리,야쿠르트,DeNA,주니치,한신,히로시마")),"센트럴","퍼시픽"))</f>
        <v/>
      </c>
      <c r="E72" s="3"/>
      <c r="F72" s="3"/>
      <c r="G72" s="3"/>
      <c r="H72" s="4"/>
      <c r="I72" s="4"/>
      <c r="J72" s="4"/>
    </row>
    <row r="73" spans="1:10" ht="22" customHeight="1" x14ac:dyDescent="0.45">
      <c r="A73" s="6" t="str">
        <f>IF(COUNTA(H73:I73)=0,"",SUBTOTAL(103,$H$8:H73))</f>
        <v/>
      </c>
      <c r="B73" s="6"/>
      <c r="C73" s="8"/>
      <c r="D73" s="6" t="str">
        <f t="shared" si="10"/>
        <v/>
      </c>
      <c r="E73" s="6"/>
      <c r="F73" s="6"/>
      <c r="G73" s="6"/>
      <c r="H73" s="7"/>
      <c r="I73" s="7"/>
      <c r="J73" s="7"/>
    </row>
    <row r="74" spans="1:10" ht="22" customHeight="1" x14ac:dyDescent="0.45">
      <c r="A74" s="3" t="str">
        <f>IF(COUNTA(H74:I74)=0,"",SUBTOTAL(103,$H$8:H74))</f>
        <v/>
      </c>
      <c r="B74" s="3"/>
      <c r="C74" s="5"/>
      <c r="D74" s="3" t="str">
        <f t="shared" si="10"/>
        <v/>
      </c>
      <c r="E74" s="3"/>
      <c r="F74" s="3"/>
      <c r="G74" s="3"/>
      <c r="H74" s="4"/>
      <c r="I74" s="4"/>
      <c r="J74" s="4"/>
    </row>
    <row r="75" spans="1:10" ht="22" customHeight="1" x14ac:dyDescent="0.45">
      <c r="A75" s="6" t="str">
        <f>IF(COUNTA(H75:I75)=0,"",SUBTOTAL(103,$H$8:H75))</f>
        <v/>
      </c>
      <c r="B75" s="6"/>
      <c r="C75" s="8"/>
      <c r="D75" s="6" t="str">
        <f t="shared" si="10"/>
        <v/>
      </c>
      <c r="E75" s="6"/>
      <c r="F75" s="6"/>
      <c r="G75" s="6"/>
      <c r="H75" s="7"/>
      <c r="I75" s="7"/>
      <c r="J75" s="7"/>
    </row>
    <row r="76" spans="1:10" ht="22" customHeight="1" x14ac:dyDescent="0.45">
      <c r="A76" s="3" t="str">
        <f>IF(COUNTA(H76:I76)=0,"",SUBTOTAL(103,$H$8:H76))</f>
        <v/>
      </c>
      <c r="B76" s="3"/>
      <c r="C76" s="5"/>
      <c r="D76" s="3" t="str">
        <f t="shared" si="10"/>
        <v/>
      </c>
      <c r="E76" s="3"/>
      <c r="F76" s="3"/>
      <c r="G76" s="3"/>
      <c r="H76" s="4"/>
      <c r="I76" s="4"/>
      <c r="J76" s="4"/>
    </row>
    <row r="77" spans="1:10" ht="22" customHeight="1" x14ac:dyDescent="0.45">
      <c r="A77" s="6" t="str">
        <f>IF(COUNTA(H77:I77)=0,"",SUBTOTAL(103,$H$8:H77))</f>
        <v/>
      </c>
      <c r="B77" s="6"/>
      <c r="C77" s="8"/>
      <c r="D77" s="6" t="str">
        <f t="shared" si="10"/>
        <v/>
      </c>
      <c r="E77" s="6"/>
      <c r="F77" s="6"/>
      <c r="G77" s="6"/>
      <c r="H77" s="7"/>
      <c r="I77" s="7"/>
      <c r="J77" s="7"/>
    </row>
    <row r="78" spans="1:10" ht="22" customHeight="1" x14ac:dyDescent="0.45">
      <c r="A78" s="3" t="str">
        <f>IF(COUNTA(H78:I78)=0,"",SUBTOTAL(103,$H$8:H78))</f>
        <v/>
      </c>
      <c r="B78" s="3"/>
      <c r="C78" s="5"/>
      <c r="D78" s="3" t="str">
        <f t="shared" si="10"/>
        <v/>
      </c>
      <c r="E78" s="3"/>
      <c r="F78" s="3"/>
      <c r="G78" s="3"/>
      <c r="H78" s="4"/>
      <c r="I78" s="4"/>
      <c r="J78" s="4"/>
    </row>
    <row r="79" spans="1:10" ht="22" customHeight="1" x14ac:dyDescent="0.45">
      <c r="A79" s="6" t="str">
        <f>IF(COUNTA(H79:I79)=0,"",SUBTOTAL(103,$H$8:H79))</f>
        <v/>
      </c>
      <c r="B79" s="6"/>
      <c r="C79" s="8"/>
      <c r="D79" s="6" t="str">
        <f t="shared" si="10"/>
        <v/>
      </c>
      <c r="E79" s="6"/>
      <c r="F79" s="6"/>
      <c r="G79" s="6"/>
      <c r="H79" s="7"/>
      <c r="I79" s="7"/>
      <c r="J79" s="7"/>
    </row>
    <row r="80" spans="1:10" ht="22" customHeight="1" x14ac:dyDescent="0.45">
      <c r="A80" s="3" t="str">
        <f>IF(COUNTA(H80:I80)=0,"",SUBTOTAL(103,$H$8:H80))</f>
        <v/>
      </c>
      <c r="B80" s="3"/>
      <c r="C80" s="5"/>
      <c r="D80" s="3" t="str">
        <f t="shared" si="10"/>
        <v/>
      </c>
      <c r="E80" s="3"/>
      <c r="F80" s="3"/>
      <c r="G80" s="3"/>
      <c r="H80" s="4"/>
      <c r="I80" s="4"/>
      <c r="J80" s="4"/>
    </row>
    <row r="81" spans="1:10" ht="22" customHeight="1" x14ac:dyDescent="0.45">
      <c r="A81" s="6" t="str">
        <f>IF(COUNTA(H81:I81)=0,"",SUBTOTAL(103,$H$8:H81))</f>
        <v/>
      </c>
      <c r="B81" s="6"/>
      <c r="C81" s="8"/>
      <c r="D81" s="6" t="str">
        <f t="shared" si="10"/>
        <v/>
      </c>
      <c r="E81" s="6"/>
      <c r="F81" s="6"/>
      <c r="G81" s="6"/>
      <c r="H81" s="7"/>
      <c r="I81" s="7"/>
      <c r="J81" s="7"/>
    </row>
    <row r="82" spans="1:10" ht="22" customHeight="1" x14ac:dyDescent="0.45">
      <c r="A82" s="3" t="str">
        <f>IF(COUNTA(H82:I82)=0,"",SUBTOTAL(103,$H$8:H82))</f>
        <v/>
      </c>
      <c r="B82" s="3"/>
      <c r="C82" s="5"/>
      <c r="D82" s="3" t="str">
        <f t="shared" si="10"/>
        <v/>
      </c>
      <c r="E82" s="3"/>
      <c r="F82" s="3"/>
      <c r="G82" s="3"/>
      <c r="H82" s="4"/>
      <c r="I82" s="4"/>
      <c r="J82" s="4"/>
    </row>
    <row r="83" spans="1:10" ht="22" customHeight="1" x14ac:dyDescent="0.45">
      <c r="A83" s="6" t="str">
        <f>IF(COUNTA(H83:I83)=0,"",SUBTOTAL(103,$H$8:H83))</f>
        <v/>
      </c>
      <c r="B83" s="6"/>
      <c r="C83" s="8"/>
      <c r="D83" s="6" t="str">
        <f t="shared" si="10"/>
        <v/>
      </c>
      <c r="E83" s="6"/>
      <c r="F83" s="6"/>
      <c r="G83" s="6"/>
      <c r="H83" s="7"/>
      <c r="I83" s="7"/>
      <c r="J83" s="7"/>
    </row>
    <row r="84" spans="1:10" ht="22" customHeight="1" x14ac:dyDescent="0.45">
      <c r="A84" s="3" t="str">
        <f>IF(COUNTA(H84:I84)=0,"",SUBTOTAL(103,$H$8:H84))</f>
        <v/>
      </c>
      <c r="B84" s="3"/>
      <c r="C84" s="5"/>
      <c r="D84" s="3" t="str">
        <f t="shared" si="10"/>
        <v/>
      </c>
      <c r="E84" s="3"/>
      <c r="F84" s="3"/>
      <c r="G84" s="3"/>
      <c r="H84" s="4"/>
      <c r="I84" s="4"/>
      <c r="J84" s="4"/>
    </row>
    <row r="85" spans="1:10" ht="22" customHeight="1" x14ac:dyDescent="0.45">
      <c r="A85" s="6" t="str">
        <f>IF(COUNTA(H85:I85)=0,"",SUBTOTAL(103,$H$8:H85))</f>
        <v/>
      </c>
      <c r="B85" s="6"/>
      <c r="C85" s="8"/>
      <c r="D85" s="6" t="str">
        <f t="shared" si="10"/>
        <v/>
      </c>
      <c r="E85" s="6"/>
      <c r="F85" s="6"/>
      <c r="G85" s="6"/>
      <c r="H85" s="7"/>
      <c r="I85" s="7"/>
      <c r="J85" s="7"/>
    </row>
    <row r="86" spans="1:10" ht="22" customHeight="1" x14ac:dyDescent="0.45">
      <c r="A86" s="3" t="str">
        <f>IF(COUNTA(H86:I86)=0,"",SUBTOTAL(103,$H$8:H86))</f>
        <v/>
      </c>
      <c r="B86" s="3"/>
      <c r="C86" s="5"/>
      <c r="D86" s="3" t="str">
        <f t="shared" si="10"/>
        <v/>
      </c>
      <c r="E86" s="3"/>
      <c r="F86" s="3"/>
      <c r="G86" s="3"/>
      <c r="H86" s="4"/>
      <c r="I86" s="4"/>
      <c r="J86" s="4"/>
    </row>
    <row r="87" spans="1:10" ht="22" customHeight="1" x14ac:dyDescent="0.45">
      <c r="A87" s="6" t="str">
        <f>IF(COUNTA(H87:I87)=0,"",SUBTOTAL(103,$H$8:H87))</f>
        <v/>
      </c>
      <c r="B87" s="6"/>
      <c r="C87" s="8"/>
      <c r="D87" s="6" t="str">
        <f t="shared" si="10"/>
        <v/>
      </c>
      <c r="E87" s="6"/>
      <c r="F87" s="6"/>
      <c r="G87" s="6"/>
      <c r="H87" s="7"/>
      <c r="I87" s="7"/>
      <c r="J87" s="7"/>
    </row>
    <row r="88" spans="1:10" ht="22" customHeight="1" x14ac:dyDescent="0.45">
      <c r="A88" s="3" t="str">
        <f>IF(COUNTA(H88:I88)=0,"",SUBTOTAL(103,$H$8:H88))</f>
        <v/>
      </c>
      <c r="B88" s="3"/>
      <c r="C88" s="5"/>
      <c r="D88" s="3" t="str">
        <f t="shared" si="10"/>
        <v/>
      </c>
      <c r="E88" s="3"/>
      <c r="F88" s="3"/>
      <c r="G88" s="3"/>
      <c r="H88" s="4"/>
      <c r="I88" s="4"/>
      <c r="J88" s="4"/>
    </row>
    <row r="89" spans="1:10" ht="22" customHeight="1" x14ac:dyDescent="0.45">
      <c r="A89" s="6" t="str">
        <f>IF(COUNTA(H89:I89)=0,"",SUBTOTAL(103,$H$8:H89))</f>
        <v/>
      </c>
      <c r="B89" s="6"/>
      <c r="C89" s="8"/>
      <c r="D89" s="6" t="str">
        <f t="shared" si="10"/>
        <v/>
      </c>
      <c r="E89" s="6"/>
      <c r="F89" s="6"/>
      <c r="G89" s="6"/>
      <c r="H89" s="7"/>
      <c r="I89" s="7"/>
      <c r="J89" s="7"/>
    </row>
    <row r="90" spans="1:10" ht="22" customHeight="1" x14ac:dyDescent="0.45">
      <c r="A90" s="3" t="str">
        <f>IF(COUNTA(H90:I90)=0,"",SUBTOTAL(103,$H$8:H90))</f>
        <v/>
      </c>
      <c r="B90" s="3"/>
      <c r="C90" s="5"/>
      <c r="D90" s="3" t="str">
        <f t="shared" si="10"/>
        <v/>
      </c>
      <c r="E90" s="3"/>
      <c r="F90" s="3"/>
      <c r="G90" s="3"/>
      <c r="H90" s="4"/>
      <c r="I90" s="4"/>
      <c r="J90" s="4"/>
    </row>
    <row r="91" spans="1:10" ht="22" customHeight="1" x14ac:dyDescent="0.45">
      <c r="A91" s="6" t="str">
        <f>IF(COUNTA(H91:I91)=0,"",SUBTOTAL(103,$H$8:H91))</f>
        <v/>
      </c>
      <c r="B91" s="6"/>
      <c r="C91" s="8"/>
      <c r="D91" s="6" t="str">
        <f t="shared" si="10"/>
        <v/>
      </c>
      <c r="E91" s="6"/>
      <c r="F91" s="6"/>
      <c r="G91" s="6"/>
      <c r="H91" s="7"/>
      <c r="I91" s="7"/>
      <c r="J91" s="7"/>
    </row>
    <row r="92" spans="1:10" ht="22" customHeight="1" x14ac:dyDescent="0.45">
      <c r="A92" s="3" t="str">
        <f>IF(COUNTA(H92:I92)=0,"",SUBTOTAL(103,$H$8:H92))</f>
        <v/>
      </c>
      <c r="B92" s="3"/>
      <c r="C92" s="5"/>
      <c r="D92" s="3" t="str">
        <f t="shared" si="10"/>
        <v/>
      </c>
      <c r="E92" s="3"/>
      <c r="F92" s="3"/>
      <c r="G92" s="3"/>
      <c r="H92" s="4"/>
      <c r="I92" s="4"/>
      <c r="J92" s="4"/>
    </row>
    <row r="93" spans="1:10" ht="22" customHeight="1" x14ac:dyDescent="0.45">
      <c r="A93" s="6" t="str">
        <f>IF(COUNTA(H93:I93)=0,"",SUBTOTAL(103,$H$8:H93))</f>
        <v/>
      </c>
      <c r="B93" s="6"/>
      <c r="C93" s="8"/>
      <c r="D93" s="6" t="str">
        <f t="shared" si="10"/>
        <v/>
      </c>
      <c r="E93" s="6"/>
      <c r="F93" s="6"/>
      <c r="G93" s="6"/>
      <c r="H93" s="7"/>
      <c r="I93" s="7"/>
      <c r="J93" s="7"/>
    </row>
    <row r="94" spans="1:10" ht="22" customHeight="1" x14ac:dyDescent="0.45">
      <c r="A94" s="3" t="str">
        <f>IF(COUNTA(H94:I94)=0,"",SUBTOTAL(103,$H$8:H94))</f>
        <v/>
      </c>
      <c r="B94" s="3"/>
      <c r="C94" s="5"/>
      <c r="D94" s="3" t="str">
        <f t="shared" si="10"/>
        <v/>
      </c>
      <c r="E94" s="3"/>
      <c r="F94" s="3"/>
      <c r="G94" s="3"/>
      <c r="H94" s="4"/>
      <c r="I94" s="4"/>
      <c r="J94" s="4"/>
    </row>
    <row r="95" spans="1:10" ht="22" customHeight="1" x14ac:dyDescent="0.45">
      <c r="A95" s="6" t="str">
        <f>IF(COUNTA(H95:I95)=0,"",SUBTOTAL(103,$H$8:H95))</f>
        <v/>
      </c>
      <c r="B95" s="6"/>
      <c r="C95" s="8"/>
      <c r="D95" s="6" t="str">
        <f t="shared" si="10"/>
        <v/>
      </c>
      <c r="E95" s="6"/>
      <c r="F95" s="6"/>
      <c r="G95" s="6"/>
      <c r="H95" s="7"/>
      <c r="I95" s="7"/>
      <c r="J95" s="7"/>
    </row>
    <row r="96" spans="1:10" ht="22" customHeight="1" x14ac:dyDescent="0.45">
      <c r="A96" s="3" t="str">
        <f>IF(COUNTA(H96:I96)=0,"",SUBTOTAL(103,$H$8:H96))</f>
        <v/>
      </c>
      <c r="B96" s="3"/>
      <c r="C96" s="5"/>
      <c r="D96" s="3" t="str">
        <f t="shared" si="10"/>
        <v/>
      </c>
      <c r="E96" s="3"/>
      <c r="F96" s="3"/>
      <c r="G96" s="3"/>
      <c r="H96" s="4"/>
      <c r="I96" s="4"/>
      <c r="J96" s="4"/>
    </row>
    <row r="97" spans="1:10" ht="22" customHeight="1" x14ac:dyDescent="0.45">
      <c r="A97" s="6" t="str">
        <f>IF(COUNTA(H97:I97)=0,"",SUBTOTAL(103,$H$8:H97))</f>
        <v/>
      </c>
      <c r="B97" s="6"/>
      <c r="C97" s="8"/>
      <c r="D97" s="6" t="str">
        <f t="shared" si="10"/>
        <v/>
      </c>
      <c r="E97" s="6"/>
      <c r="F97" s="6"/>
      <c r="G97" s="6"/>
      <c r="H97" s="7"/>
      <c r="I97" s="7"/>
      <c r="J97" s="7"/>
    </row>
    <row r="98" spans="1:10" ht="22" customHeight="1" x14ac:dyDescent="0.45">
      <c r="A98" s="3" t="str">
        <f>IF(COUNTA(H98:I98)=0,"",SUBTOTAL(103,$H$8:H98))</f>
        <v/>
      </c>
      <c r="B98" s="3"/>
      <c r="C98" s="5"/>
      <c r="D98" s="3" t="str">
        <f t="shared" si="10"/>
        <v/>
      </c>
      <c r="E98" s="3"/>
      <c r="F98" s="3"/>
      <c r="G98" s="3"/>
      <c r="H98" s="4"/>
      <c r="I98" s="4"/>
      <c r="J98" s="4"/>
    </row>
    <row r="99" spans="1:10" ht="22" customHeight="1" x14ac:dyDescent="0.45">
      <c r="A99" s="6" t="str">
        <f>IF(COUNTA(H99:I99)=0,"",SUBTOTAL(103,$H$8:H99))</f>
        <v/>
      </c>
      <c r="B99" s="6"/>
      <c r="C99" s="8"/>
      <c r="D99" s="6" t="str">
        <f t="shared" si="10"/>
        <v/>
      </c>
      <c r="E99" s="6"/>
      <c r="F99" s="6"/>
      <c r="G99" s="6"/>
      <c r="H99" s="7"/>
      <c r="I99" s="7"/>
      <c r="J99" s="7"/>
    </row>
    <row r="100" spans="1:10" ht="22" customHeight="1" x14ac:dyDescent="0.45">
      <c r="A100" s="3" t="str">
        <f>IF(COUNTA(H100:I100)=0,"",SUBTOTAL(103,$H$8:H100))</f>
        <v/>
      </c>
      <c r="B100" s="3"/>
      <c r="C100" s="5"/>
      <c r="D100" s="3" t="str">
        <f t="shared" si="10"/>
        <v/>
      </c>
      <c r="E100" s="3"/>
      <c r="F100" s="3"/>
      <c r="G100" s="3"/>
      <c r="H100" s="4"/>
      <c r="I100" s="4"/>
      <c r="J100" s="4"/>
    </row>
    <row r="101" spans="1:10" ht="22" customHeight="1" x14ac:dyDescent="0.45">
      <c r="A101" s="6" t="str">
        <f>IF(COUNTA(H101:I101)=0,"",SUBTOTAL(103,$H$8:H101))</f>
        <v/>
      </c>
      <c r="B101" s="6"/>
      <c r="C101" s="8"/>
      <c r="D101" s="6" t="str">
        <f t="shared" si="10"/>
        <v/>
      </c>
      <c r="E101" s="6"/>
      <c r="F101" s="6"/>
      <c r="G101" s="6"/>
      <c r="H101" s="7"/>
      <c r="I101" s="7"/>
      <c r="J101" s="7"/>
    </row>
    <row r="102" spans="1:10" ht="22" customHeight="1" x14ac:dyDescent="0.45">
      <c r="A102" s="3" t="str">
        <f>IF(COUNTA(H102:I102)=0,"",SUBTOTAL(103,$H$8:H102))</f>
        <v/>
      </c>
      <c r="B102" s="3"/>
      <c r="C102" s="5"/>
      <c r="D102" s="3" t="str">
        <f t="shared" si="10"/>
        <v/>
      </c>
      <c r="E102" s="3"/>
      <c r="F102" s="3"/>
      <c r="G102" s="3"/>
      <c r="H102" s="4"/>
      <c r="I102" s="4"/>
      <c r="J102" s="4"/>
    </row>
    <row r="103" spans="1:10" ht="22" customHeight="1" x14ac:dyDescent="0.45">
      <c r="A103" s="6" t="str">
        <f>IF(COUNTA(H103:I103)=0,"",SUBTOTAL(103,$H$8:H103))</f>
        <v/>
      </c>
      <c r="B103" s="6"/>
      <c r="C103" s="8"/>
      <c r="D103" s="6" t="str">
        <f t="shared" si="10"/>
        <v/>
      </c>
      <c r="E103" s="6"/>
      <c r="F103" s="6"/>
      <c r="G103" s="6"/>
      <c r="H103" s="7"/>
      <c r="I103" s="7"/>
      <c r="J103" s="7"/>
    </row>
    <row r="104" spans="1:10" ht="22" customHeight="1" x14ac:dyDescent="0.45">
      <c r="A104" s="3" t="str">
        <f>IF(COUNTA(H104:I104)=0,"",SUBTOTAL(103,$H$8:H104))</f>
        <v/>
      </c>
      <c r="B104" s="3"/>
      <c r="C104" s="5"/>
      <c r="D104" s="3" t="str">
        <f t="shared" ref="D104:D135" si="11">IF(E104="","",IF(ISNUMBER(FIND(E104,"요미우리,야쿠르트,DeNA,주니치,한신,히로시마")),"센트럴","퍼시픽"))</f>
        <v/>
      </c>
      <c r="E104" s="3"/>
      <c r="F104" s="3"/>
      <c r="G104" s="3"/>
      <c r="H104" s="4"/>
      <c r="I104" s="4"/>
      <c r="J104" s="4"/>
    </row>
    <row r="105" spans="1:10" ht="22" customHeight="1" x14ac:dyDescent="0.45">
      <c r="A105" s="6" t="str">
        <f>IF(COUNTA(H105:I105)=0,"",SUBTOTAL(103,$H$8:H105))</f>
        <v/>
      </c>
      <c r="B105" s="6"/>
      <c r="C105" s="8"/>
      <c r="D105" s="6" t="str">
        <f t="shared" si="11"/>
        <v/>
      </c>
      <c r="E105" s="6"/>
      <c r="F105" s="6"/>
      <c r="G105" s="6"/>
      <c r="H105" s="7"/>
      <c r="I105" s="7"/>
      <c r="J105" s="7"/>
    </row>
    <row r="106" spans="1:10" ht="22" customHeight="1" x14ac:dyDescent="0.45">
      <c r="A106" s="3" t="str">
        <f>IF(COUNTA(H106:I106)=0,"",SUBTOTAL(103,$H$8:H106))</f>
        <v/>
      </c>
      <c r="B106" s="3"/>
      <c r="C106" s="5"/>
      <c r="D106" s="3" t="str">
        <f t="shared" si="11"/>
        <v/>
      </c>
      <c r="E106" s="3"/>
      <c r="F106" s="3"/>
      <c r="G106" s="3"/>
      <c r="H106" s="4"/>
      <c r="I106" s="4"/>
      <c r="J106" s="4"/>
    </row>
    <row r="107" spans="1:10" ht="22" customHeight="1" x14ac:dyDescent="0.45">
      <c r="A107" s="6" t="str">
        <f>IF(COUNTA(H107:I107)=0,"",SUBTOTAL(103,$H$8:H107))</f>
        <v/>
      </c>
      <c r="B107" s="6"/>
      <c r="C107" s="8"/>
      <c r="D107" s="6" t="str">
        <f t="shared" si="11"/>
        <v/>
      </c>
      <c r="E107" s="6"/>
      <c r="F107" s="6"/>
      <c r="G107" s="6"/>
      <c r="H107" s="7"/>
      <c r="I107" s="7"/>
      <c r="J107" s="7"/>
    </row>
    <row r="108" spans="1:10" ht="22" customHeight="1" x14ac:dyDescent="0.45">
      <c r="A108" s="3" t="str">
        <f>IF(COUNTA(H108:I108)=0,"",SUBTOTAL(103,$H$8:H108))</f>
        <v/>
      </c>
      <c r="B108" s="3"/>
      <c r="C108" s="5"/>
      <c r="D108" s="3" t="str">
        <f t="shared" si="11"/>
        <v/>
      </c>
      <c r="E108" s="3"/>
      <c r="F108" s="3"/>
      <c r="G108" s="3"/>
      <c r="H108" s="4"/>
      <c r="I108" s="4"/>
      <c r="J108" s="4"/>
    </row>
    <row r="109" spans="1:10" ht="22" customHeight="1" x14ac:dyDescent="0.45">
      <c r="A109" s="6" t="str">
        <f>IF(COUNTA(H109:I109)=0,"",SUBTOTAL(103,$H$8:H109))</f>
        <v/>
      </c>
      <c r="B109" s="6"/>
      <c r="C109" s="8"/>
      <c r="D109" s="6" t="str">
        <f t="shared" si="11"/>
        <v/>
      </c>
      <c r="E109" s="6"/>
      <c r="F109" s="6"/>
      <c r="G109" s="6"/>
      <c r="H109" s="7"/>
      <c r="I109" s="7"/>
      <c r="J109" s="7"/>
    </row>
    <row r="110" spans="1:10" ht="22" customHeight="1" x14ac:dyDescent="0.45">
      <c r="A110" s="3" t="str">
        <f>IF(COUNTA(H110:I110)=0,"",SUBTOTAL(103,$H$8:H110))</f>
        <v/>
      </c>
      <c r="B110" s="3"/>
      <c r="C110" s="5"/>
      <c r="D110" s="3" t="str">
        <f t="shared" si="11"/>
        <v/>
      </c>
      <c r="E110" s="3"/>
      <c r="F110" s="3"/>
      <c r="G110" s="3"/>
      <c r="H110" s="4"/>
      <c r="I110" s="4"/>
      <c r="J110" s="4"/>
    </row>
    <row r="111" spans="1:10" ht="22" customHeight="1" x14ac:dyDescent="0.45">
      <c r="A111" s="6" t="str">
        <f>IF(COUNTA(H111:I111)=0,"",SUBTOTAL(103,$H$8:H111))</f>
        <v/>
      </c>
      <c r="B111" s="6"/>
      <c r="C111" s="8"/>
      <c r="D111" s="6" t="str">
        <f t="shared" si="11"/>
        <v/>
      </c>
      <c r="E111" s="6"/>
      <c r="F111" s="6"/>
      <c r="G111" s="6"/>
      <c r="H111" s="7"/>
      <c r="I111" s="7"/>
      <c r="J111" s="7"/>
    </row>
    <row r="112" spans="1:10" ht="22" customHeight="1" x14ac:dyDescent="0.45">
      <c r="A112" s="3" t="str">
        <f>IF(COUNTA(H112:I112)=0,"",SUBTOTAL(103,$H$8:H112))</f>
        <v/>
      </c>
      <c r="B112" s="3"/>
      <c r="C112" s="5"/>
      <c r="D112" s="3" t="str">
        <f t="shared" si="11"/>
        <v/>
      </c>
      <c r="E112" s="3"/>
      <c r="F112" s="3"/>
      <c r="G112" s="3"/>
      <c r="H112" s="4"/>
      <c r="I112" s="4"/>
      <c r="J112" s="4"/>
    </row>
    <row r="113" spans="1:10" ht="22" customHeight="1" x14ac:dyDescent="0.45">
      <c r="A113" s="6" t="str">
        <f>IF(COUNTA(H113:I113)=0,"",SUBTOTAL(103,$H$8:H113))</f>
        <v/>
      </c>
      <c r="B113" s="6"/>
      <c r="C113" s="8"/>
      <c r="D113" s="6" t="str">
        <f t="shared" si="11"/>
        <v/>
      </c>
      <c r="E113" s="6"/>
      <c r="F113" s="6"/>
      <c r="G113" s="6"/>
      <c r="H113" s="7"/>
      <c r="I113" s="7"/>
      <c r="J113" s="7"/>
    </row>
    <row r="114" spans="1:10" ht="22" customHeight="1" x14ac:dyDescent="0.45">
      <c r="A114" s="3" t="str">
        <f>IF(COUNTA(H114:I114)=0,"",SUBTOTAL(103,$H$8:H114))</f>
        <v/>
      </c>
      <c r="B114" s="3"/>
      <c r="C114" s="5"/>
      <c r="D114" s="3" t="str">
        <f t="shared" si="11"/>
        <v/>
      </c>
      <c r="E114" s="3"/>
      <c r="F114" s="3"/>
      <c r="G114" s="3"/>
      <c r="H114" s="4"/>
      <c r="I114" s="4"/>
      <c r="J114" s="4"/>
    </row>
    <row r="115" spans="1:10" ht="22" customHeight="1" x14ac:dyDescent="0.45">
      <c r="A115" s="6" t="str">
        <f>IF(COUNTA(H115:I115)=0,"",SUBTOTAL(103,$H$8:H115))</f>
        <v/>
      </c>
      <c r="B115" s="6"/>
      <c r="C115" s="8"/>
      <c r="D115" s="6" t="str">
        <f t="shared" si="11"/>
        <v/>
      </c>
      <c r="E115" s="6"/>
      <c r="F115" s="6"/>
      <c r="G115" s="6"/>
      <c r="H115" s="7"/>
      <c r="I115" s="7"/>
      <c r="J115" s="7"/>
    </row>
    <row r="116" spans="1:10" ht="22" customHeight="1" x14ac:dyDescent="0.45">
      <c r="A116" s="3" t="str">
        <f>IF(COUNTA(H116:I116)=0,"",SUBTOTAL(103,$H$8:H116))</f>
        <v/>
      </c>
      <c r="B116" s="3"/>
      <c r="C116" s="5"/>
      <c r="D116" s="3" t="str">
        <f t="shared" si="11"/>
        <v/>
      </c>
      <c r="E116" s="3"/>
      <c r="F116" s="3"/>
      <c r="G116" s="3"/>
      <c r="H116" s="4"/>
      <c r="I116" s="4"/>
      <c r="J116" s="4"/>
    </row>
    <row r="117" spans="1:10" ht="22" customHeight="1" x14ac:dyDescent="0.45">
      <c r="A117" s="6" t="str">
        <f>IF(COUNTA(H117:I117)=0,"",SUBTOTAL(103,$H$8:H117))</f>
        <v/>
      </c>
      <c r="B117" s="6"/>
      <c r="C117" s="8"/>
      <c r="D117" s="6" t="str">
        <f t="shared" si="11"/>
        <v/>
      </c>
      <c r="E117" s="6"/>
      <c r="F117" s="6"/>
      <c r="G117" s="6"/>
      <c r="H117" s="7"/>
      <c r="I117" s="7"/>
      <c r="J117" s="7"/>
    </row>
    <row r="118" spans="1:10" ht="22" customHeight="1" x14ac:dyDescent="0.45">
      <c r="A118" s="3" t="str">
        <f>IF(COUNTA(H118:I118)=0,"",SUBTOTAL(103,$H$8:H118))</f>
        <v/>
      </c>
      <c r="B118" s="3"/>
      <c r="C118" s="5"/>
      <c r="D118" s="3" t="str">
        <f t="shared" si="11"/>
        <v/>
      </c>
      <c r="E118" s="3"/>
      <c r="F118" s="3"/>
      <c r="G118" s="3"/>
      <c r="H118" s="4"/>
      <c r="I118" s="4"/>
      <c r="J118" s="4"/>
    </row>
    <row r="119" spans="1:10" ht="22" customHeight="1" x14ac:dyDescent="0.45">
      <c r="A119" s="6" t="str">
        <f>IF(COUNTA(H119:I119)=0,"",SUBTOTAL(103,$H$8:H119))</f>
        <v/>
      </c>
      <c r="B119" s="6"/>
      <c r="C119" s="8"/>
      <c r="D119" s="6" t="str">
        <f t="shared" si="11"/>
        <v/>
      </c>
      <c r="E119" s="6"/>
      <c r="F119" s="6"/>
      <c r="G119" s="6"/>
      <c r="H119" s="7"/>
      <c r="I119" s="7"/>
      <c r="J119" s="7"/>
    </row>
    <row r="120" spans="1:10" ht="22" customHeight="1" x14ac:dyDescent="0.45">
      <c r="A120" s="3" t="str">
        <f>IF(COUNTA(H120:I120)=0,"",SUBTOTAL(103,$H$8:H120))</f>
        <v/>
      </c>
      <c r="B120" s="3"/>
      <c r="C120" s="5"/>
      <c r="D120" s="3" t="str">
        <f t="shared" si="11"/>
        <v/>
      </c>
      <c r="E120" s="3"/>
      <c r="F120" s="3"/>
      <c r="G120" s="3"/>
      <c r="H120" s="4"/>
      <c r="I120" s="4"/>
      <c r="J120" s="4"/>
    </row>
    <row r="121" spans="1:10" ht="22" customHeight="1" x14ac:dyDescent="0.45">
      <c r="A121" s="6" t="str">
        <f>IF(COUNTA(H121:I121)=0,"",SUBTOTAL(103,$H$8:H121))</f>
        <v/>
      </c>
      <c r="B121" s="6"/>
      <c r="C121" s="8"/>
      <c r="D121" s="6" t="str">
        <f t="shared" si="11"/>
        <v/>
      </c>
      <c r="E121" s="6"/>
      <c r="F121" s="6"/>
      <c r="G121" s="6"/>
      <c r="H121" s="7"/>
      <c r="I121" s="7"/>
      <c r="J121" s="7"/>
    </row>
    <row r="122" spans="1:10" ht="22" customHeight="1" x14ac:dyDescent="0.45">
      <c r="A122" s="3" t="str">
        <f>IF(COUNTA(H122:I122)=0,"",SUBTOTAL(103,$H$8:H122))</f>
        <v/>
      </c>
      <c r="B122" s="3"/>
      <c r="C122" s="5"/>
      <c r="D122" s="3" t="str">
        <f t="shared" si="11"/>
        <v/>
      </c>
      <c r="E122" s="3"/>
      <c r="F122" s="3"/>
      <c r="G122" s="3"/>
      <c r="H122" s="4"/>
      <c r="I122" s="4"/>
      <c r="J122" s="4"/>
    </row>
    <row r="123" spans="1:10" ht="22" customHeight="1" x14ac:dyDescent="0.45">
      <c r="A123" s="6" t="str">
        <f>IF(COUNTA(H123:I123)=0,"",SUBTOTAL(103,$H$8:H123))</f>
        <v/>
      </c>
      <c r="B123" s="6"/>
      <c r="C123" s="8"/>
      <c r="D123" s="6" t="str">
        <f t="shared" si="11"/>
        <v/>
      </c>
      <c r="E123" s="6"/>
      <c r="F123" s="6"/>
      <c r="G123" s="6"/>
      <c r="H123" s="7"/>
      <c r="I123" s="7"/>
      <c r="J123" s="7"/>
    </row>
    <row r="124" spans="1:10" ht="22" customHeight="1" x14ac:dyDescent="0.45">
      <c r="A124" s="3" t="str">
        <f>IF(COUNTA(H124:I124)=0,"",SUBTOTAL(103,$H$8:H124))</f>
        <v/>
      </c>
      <c r="B124" s="3"/>
      <c r="C124" s="5"/>
      <c r="D124" s="3" t="str">
        <f t="shared" si="11"/>
        <v/>
      </c>
      <c r="E124" s="3"/>
      <c r="F124" s="3"/>
      <c r="G124" s="3"/>
      <c r="H124" s="4"/>
      <c r="I124" s="4"/>
      <c r="J124" s="4"/>
    </row>
    <row r="125" spans="1:10" ht="22" customHeight="1" x14ac:dyDescent="0.45">
      <c r="A125" s="6" t="str">
        <f>IF(COUNTA(H125:I125)=0,"",SUBTOTAL(103,$H$8:H125))</f>
        <v/>
      </c>
      <c r="B125" s="6"/>
      <c r="C125" s="8"/>
      <c r="D125" s="6" t="str">
        <f t="shared" si="11"/>
        <v/>
      </c>
      <c r="E125" s="6"/>
      <c r="F125" s="6"/>
      <c r="G125" s="6"/>
      <c r="H125" s="7"/>
      <c r="I125" s="7"/>
      <c r="J125" s="7"/>
    </row>
    <row r="126" spans="1:10" ht="22" customHeight="1" x14ac:dyDescent="0.45">
      <c r="A126" s="3" t="str">
        <f>IF(COUNTA(H126:I126)=0,"",SUBTOTAL(103,$H$8:H126))</f>
        <v/>
      </c>
      <c r="B126" s="3"/>
      <c r="C126" s="5"/>
      <c r="D126" s="3" t="str">
        <f t="shared" si="11"/>
        <v/>
      </c>
      <c r="E126" s="3"/>
      <c r="F126" s="3"/>
      <c r="G126" s="3"/>
      <c r="H126" s="4"/>
      <c r="I126" s="4"/>
      <c r="J126" s="4"/>
    </row>
    <row r="127" spans="1:10" ht="22" customHeight="1" x14ac:dyDescent="0.45">
      <c r="A127" s="6" t="str">
        <f>IF(COUNTA(H127:I127)=0,"",SUBTOTAL(103,$H$8:H127))</f>
        <v/>
      </c>
      <c r="B127" s="6"/>
      <c r="C127" s="8"/>
      <c r="D127" s="6" t="str">
        <f t="shared" si="11"/>
        <v/>
      </c>
      <c r="E127" s="6"/>
      <c r="F127" s="6"/>
      <c r="G127" s="6"/>
      <c r="H127" s="7"/>
      <c r="I127" s="7"/>
      <c r="J127" s="7"/>
    </row>
    <row r="128" spans="1:10" ht="22" customHeight="1" x14ac:dyDescent="0.45">
      <c r="A128" s="3" t="str">
        <f>IF(COUNTA(H128:I128)=0,"",SUBTOTAL(103,$H$8:H128))</f>
        <v/>
      </c>
      <c r="B128" s="3"/>
      <c r="C128" s="5"/>
      <c r="D128" s="3" t="str">
        <f t="shared" si="11"/>
        <v/>
      </c>
      <c r="E128" s="3"/>
      <c r="F128" s="3"/>
      <c r="G128" s="3"/>
      <c r="H128" s="4"/>
      <c r="I128" s="4"/>
      <c r="J128" s="4"/>
    </row>
    <row r="129" spans="1:10" ht="22" customHeight="1" x14ac:dyDescent="0.45">
      <c r="A129" s="6" t="str">
        <f>IF(COUNTA(H129:I129)=0,"",SUBTOTAL(103,$H$8:H129))</f>
        <v/>
      </c>
      <c r="B129" s="6"/>
      <c r="C129" s="8"/>
      <c r="D129" s="6" t="str">
        <f t="shared" si="11"/>
        <v/>
      </c>
      <c r="E129" s="6"/>
      <c r="F129" s="6"/>
      <c r="G129" s="6"/>
      <c r="H129" s="7"/>
      <c r="I129" s="7"/>
      <c r="J129" s="7"/>
    </row>
    <row r="130" spans="1:10" ht="22" customHeight="1" x14ac:dyDescent="0.45">
      <c r="A130" s="3" t="str">
        <f>IF(COUNTA(H130:I130)=0,"",SUBTOTAL(103,$H$8:H130))</f>
        <v/>
      </c>
      <c r="B130" s="3"/>
      <c r="C130" s="5"/>
      <c r="D130" s="3" t="str">
        <f t="shared" si="11"/>
        <v/>
      </c>
      <c r="E130" s="3"/>
      <c r="F130" s="3"/>
      <c r="G130" s="3"/>
      <c r="H130" s="4"/>
      <c r="I130" s="4"/>
      <c r="J130" s="4"/>
    </row>
    <row r="131" spans="1:10" ht="22" customHeight="1" x14ac:dyDescent="0.45">
      <c r="A131" s="6" t="str">
        <f>IF(COUNTA(H131:I131)=0,"",SUBTOTAL(103,$H$8:H131))</f>
        <v/>
      </c>
      <c r="B131" s="6"/>
      <c r="C131" s="8"/>
      <c r="D131" s="6" t="str">
        <f t="shared" si="11"/>
        <v/>
      </c>
      <c r="E131" s="6"/>
      <c r="F131" s="6"/>
      <c r="G131" s="6"/>
      <c r="H131" s="7"/>
      <c r="I131" s="7"/>
      <c r="J131" s="7"/>
    </row>
    <row r="132" spans="1:10" ht="22" customHeight="1" x14ac:dyDescent="0.45">
      <c r="A132" s="3" t="str">
        <f>IF(COUNTA(H132:I132)=0,"",SUBTOTAL(103,$H$8:H132))</f>
        <v/>
      </c>
      <c r="B132" s="3"/>
      <c r="C132" s="5"/>
      <c r="D132" s="3" t="str">
        <f t="shared" si="11"/>
        <v/>
      </c>
      <c r="E132" s="3"/>
      <c r="F132" s="3"/>
      <c r="G132" s="3"/>
      <c r="H132" s="4"/>
      <c r="I132" s="4"/>
      <c r="J132" s="4"/>
    </row>
    <row r="133" spans="1:10" ht="22" customHeight="1" x14ac:dyDescent="0.45">
      <c r="A133" s="6" t="str">
        <f>IF(COUNTA(H133:I133)=0,"",SUBTOTAL(103,$H$8:H133))</f>
        <v/>
      </c>
      <c r="B133" s="6"/>
      <c r="C133" s="8"/>
      <c r="D133" s="6" t="str">
        <f t="shared" si="11"/>
        <v/>
      </c>
      <c r="E133" s="6"/>
      <c r="F133" s="6"/>
      <c r="G133" s="6"/>
      <c r="H133" s="7"/>
      <c r="I133" s="7"/>
      <c r="J133" s="7"/>
    </row>
    <row r="134" spans="1:10" ht="22" customHeight="1" x14ac:dyDescent="0.45">
      <c r="A134" s="3" t="str">
        <f>IF(COUNTA(H134:I134)=0,"",SUBTOTAL(103,$H$8:H134))</f>
        <v/>
      </c>
      <c r="B134" s="3"/>
      <c r="C134" s="5"/>
      <c r="D134" s="3" t="str">
        <f t="shared" si="11"/>
        <v/>
      </c>
      <c r="E134" s="3"/>
      <c r="F134" s="3"/>
      <c r="G134" s="3"/>
      <c r="H134" s="4"/>
      <c r="I134" s="4"/>
      <c r="J134" s="4"/>
    </row>
    <row r="135" spans="1:10" ht="22" customHeight="1" x14ac:dyDescent="0.45">
      <c r="A135" s="6" t="str">
        <f>IF(COUNTA(H135:I135)=0,"",SUBTOTAL(103,$H$8:H135))</f>
        <v/>
      </c>
      <c r="B135" s="6"/>
      <c r="C135" s="8"/>
      <c r="D135" s="6" t="str">
        <f t="shared" si="11"/>
        <v/>
      </c>
      <c r="E135" s="6"/>
      <c r="F135" s="6"/>
      <c r="G135" s="6"/>
      <c r="H135" s="7"/>
      <c r="I135" s="7"/>
      <c r="J135" s="7"/>
    </row>
    <row r="136" spans="1:10" ht="22" customHeight="1" x14ac:dyDescent="0.45">
      <c r="A136" s="3" t="str">
        <f>IF(COUNTA(H136:I136)=0,"",SUBTOTAL(103,$H$8:H136))</f>
        <v/>
      </c>
      <c r="B136" s="3"/>
      <c r="C136" s="5"/>
      <c r="D136" s="3" t="str">
        <f t="shared" ref="D136:D167" si="12">IF(E136="","",IF(ISNUMBER(FIND(E136,"요미우리,야쿠르트,DeNA,주니치,한신,히로시마")),"센트럴","퍼시픽"))</f>
        <v/>
      </c>
      <c r="E136" s="3"/>
      <c r="F136" s="3"/>
      <c r="G136" s="3"/>
      <c r="H136" s="4"/>
      <c r="I136" s="4"/>
      <c r="J136" s="4"/>
    </row>
    <row r="137" spans="1:10" ht="22" customHeight="1" x14ac:dyDescent="0.45">
      <c r="A137" s="6" t="str">
        <f>IF(COUNTA(H137:I137)=0,"",SUBTOTAL(103,$H$8:H137))</f>
        <v/>
      </c>
      <c r="B137" s="6"/>
      <c r="C137" s="8"/>
      <c r="D137" s="6" t="str">
        <f t="shared" si="12"/>
        <v/>
      </c>
      <c r="E137" s="6"/>
      <c r="F137" s="6"/>
      <c r="G137" s="6"/>
      <c r="H137" s="7"/>
      <c r="I137" s="7"/>
      <c r="J137" s="7"/>
    </row>
    <row r="138" spans="1:10" ht="22" customHeight="1" x14ac:dyDescent="0.45">
      <c r="A138" s="3" t="str">
        <f>IF(COUNTA(H138:I138)=0,"",SUBTOTAL(103,$H$8:H138))</f>
        <v/>
      </c>
      <c r="B138" s="3"/>
      <c r="C138" s="5"/>
      <c r="D138" s="3" t="str">
        <f t="shared" si="12"/>
        <v/>
      </c>
      <c r="E138" s="3"/>
      <c r="F138" s="3"/>
      <c r="G138" s="3"/>
      <c r="H138" s="4"/>
      <c r="I138" s="4"/>
      <c r="J138" s="4"/>
    </row>
    <row r="139" spans="1:10" ht="22" customHeight="1" x14ac:dyDescent="0.45">
      <c r="A139" s="6" t="str">
        <f>IF(COUNTA(H139:I139)=0,"",SUBTOTAL(103,$H$8:H139))</f>
        <v/>
      </c>
      <c r="B139" s="6"/>
      <c r="C139" s="8"/>
      <c r="D139" s="6" t="str">
        <f t="shared" si="12"/>
        <v/>
      </c>
      <c r="E139" s="6"/>
      <c r="F139" s="6"/>
      <c r="G139" s="6"/>
      <c r="H139" s="7"/>
      <c r="I139" s="7"/>
      <c r="J139" s="7"/>
    </row>
    <row r="140" spans="1:10" ht="22" customHeight="1" x14ac:dyDescent="0.45">
      <c r="A140" s="3" t="str">
        <f>IF(COUNTA(H140:I140)=0,"",SUBTOTAL(103,$H$8:H140))</f>
        <v/>
      </c>
      <c r="B140" s="3"/>
      <c r="C140" s="5"/>
      <c r="D140" s="3" t="str">
        <f t="shared" si="12"/>
        <v/>
      </c>
      <c r="E140" s="3"/>
      <c r="F140" s="3"/>
      <c r="G140" s="3"/>
      <c r="H140" s="4"/>
      <c r="I140" s="4"/>
      <c r="J140" s="4"/>
    </row>
    <row r="141" spans="1:10" ht="22" customHeight="1" x14ac:dyDescent="0.45">
      <c r="A141" s="6" t="str">
        <f>IF(COUNTA(H141:I141)=0,"",SUBTOTAL(103,$H$8:H141))</f>
        <v/>
      </c>
      <c r="B141" s="6"/>
      <c r="C141" s="8"/>
      <c r="D141" s="6" t="str">
        <f t="shared" si="12"/>
        <v/>
      </c>
      <c r="E141" s="6"/>
      <c r="F141" s="6"/>
      <c r="G141" s="6"/>
      <c r="H141" s="7"/>
      <c r="I141" s="7"/>
      <c r="J141" s="7"/>
    </row>
    <row r="142" spans="1:10" ht="22" customHeight="1" x14ac:dyDescent="0.45">
      <c r="A142" s="3" t="str">
        <f>IF(COUNTA(H142:I142)=0,"",SUBTOTAL(103,$H$8:H142))</f>
        <v/>
      </c>
      <c r="B142" s="3"/>
      <c r="C142" s="5"/>
      <c r="D142" s="3" t="str">
        <f t="shared" si="12"/>
        <v/>
      </c>
      <c r="E142" s="3"/>
      <c r="F142" s="3"/>
      <c r="G142" s="3"/>
      <c r="H142" s="4"/>
      <c r="I142" s="4"/>
      <c r="J142" s="4"/>
    </row>
    <row r="143" spans="1:10" ht="22" customHeight="1" x14ac:dyDescent="0.45">
      <c r="A143" s="6" t="str">
        <f>IF(COUNTA(H143:I143)=0,"",SUBTOTAL(103,$H$8:H143))</f>
        <v/>
      </c>
      <c r="B143" s="6"/>
      <c r="C143" s="8"/>
      <c r="D143" s="6" t="str">
        <f t="shared" si="12"/>
        <v/>
      </c>
      <c r="E143" s="6"/>
      <c r="F143" s="6"/>
      <c r="G143" s="6"/>
      <c r="H143" s="7"/>
      <c r="I143" s="7"/>
      <c r="J143" s="7"/>
    </row>
    <row r="144" spans="1:10" ht="22" customHeight="1" x14ac:dyDescent="0.45">
      <c r="A144" s="3" t="str">
        <f>IF(COUNTA(H144:I144)=0,"",SUBTOTAL(103,$H$8:H144))</f>
        <v/>
      </c>
      <c r="B144" s="3"/>
      <c r="C144" s="5"/>
      <c r="D144" s="3" t="str">
        <f t="shared" si="12"/>
        <v/>
      </c>
      <c r="E144" s="3"/>
      <c r="F144" s="3"/>
      <c r="G144" s="3"/>
      <c r="H144" s="4"/>
      <c r="I144" s="4"/>
      <c r="J144" s="4"/>
    </row>
    <row r="145" spans="1:10" ht="22" customHeight="1" x14ac:dyDescent="0.45">
      <c r="A145" s="6" t="str">
        <f>IF(COUNTA(H145:I145)=0,"",SUBTOTAL(103,$H$8:H145))</f>
        <v/>
      </c>
      <c r="B145" s="6"/>
      <c r="C145" s="8"/>
      <c r="D145" s="6" t="str">
        <f t="shared" si="12"/>
        <v/>
      </c>
      <c r="E145" s="6"/>
      <c r="F145" s="6"/>
      <c r="G145" s="6"/>
      <c r="H145" s="7"/>
      <c r="I145" s="7"/>
      <c r="J145" s="7"/>
    </row>
    <row r="146" spans="1:10" ht="22" customHeight="1" x14ac:dyDescent="0.45">
      <c r="A146" s="3" t="str">
        <f>IF(COUNTA(H146:I146)=0,"",SUBTOTAL(103,$H$8:H146))</f>
        <v/>
      </c>
      <c r="B146" s="3"/>
      <c r="C146" s="5"/>
      <c r="D146" s="3" t="str">
        <f t="shared" si="12"/>
        <v/>
      </c>
      <c r="E146" s="3"/>
      <c r="F146" s="3"/>
      <c r="G146" s="3"/>
      <c r="H146" s="4"/>
      <c r="I146" s="4"/>
      <c r="J146" s="4"/>
    </row>
    <row r="147" spans="1:10" ht="22" customHeight="1" x14ac:dyDescent="0.45">
      <c r="A147" s="6" t="str">
        <f>IF(COUNTA(H147:I147)=0,"",SUBTOTAL(103,$H$8:H147))</f>
        <v/>
      </c>
      <c r="B147" s="6"/>
      <c r="C147" s="8"/>
      <c r="D147" s="6" t="str">
        <f t="shared" si="12"/>
        <v/>
      </c>
      <c r="E147" s="6"/>
      <c r="F147" s="6"/>
      <c r="G147" s="6"/>
      <c r="H147" s="7"/>
      <c r="I147" s="7"/>
      <c r="J147" s="7"/>
    </row>
    <row r="148" spans="1:10" ht="22" customHeight="1" x14ac:dyDescent="0.45">
      <c r="A148" s="3" t="str">
        <f>IF(COUNTA(H148:I148)=0,"",SUBTOTAL(103,$H$8:H148))</f>
        <v/>
      </c>
      <c r="B148" s="3"/>
      <c r="C148" s="5"/>
      <c r="D148" s="3" t="str">
        <f t="shared" si="12"/>
        <v/>
      </c>
      <c r="E148" s="3"/>
      <c r="F148" s="3"/>
      <c r="G148" s="3"/>
      <c r="H148" s="4"/>
      <c r="I148" s="4"/>
      <c r="J148" s="4"/>
    </row>
    <row r="149" spans="1:10" ht="22" customHeight="1" x14ac:dyDescent="0.45">
      <c r="A149" s="6" t="str">
        <f>IF(COUNTA(H149:I149)=0,"",SUBTOTAL(103,$H$8:H149))</f>
        <v/>
      </c>
      <c r="B149" s="6"/>
      <c r="C149" s="8"/>
      <c r="D149" s="6" t="str">
        <f t="shared" si="12"/>
        <v/>
      </c>
      <c r="E149" s="6"/>
      <c r="F149" s="6"/>
      <c r="G149" s="6"/>
      <c r="H149" s="7"/>
      <c r="I149" s="7"/>
      <c r="J149" s="7"/>
    </row>
    <row r="150" spans="1:10" ht="22" customHeight="1" x14ac:dyDescent="0.45">
      <c r="A150" s="3" t="str">
        <f>IF(COUNTA(H150:I150)=0,"",SUBTOTAL(103,$H$8:H150))</f>
        <v/>
      </c>
      <c r="B150" s="3"/>
      <c r="C150" s="5"/>
      <c r="D150" s="3" t="str">
        <f t="shared" si="12"/>
        <v/>
      </c>
      <c r="E150" s="3"/>
      <c r="F150" s="3"/>
      <c r="G150" s="3"/>
      <c r="H150" s="4"/>
      <c r="I150" s="4"/>
      <c r="J150" s="4"/>
    </row>
    <row r="151" spans="1:10" ht="22" customHeight="1" x14ac:dyDescent="0.45">
      <c r="A151" s="6"/>
      <c r="B151" s="6"/>
      <c r="C151" s="8"/>
      <c r="D151" s="6"/>
      <c r="E151" s="6"/>
      <c r="F151" s="6"/>
      <c r="G151" s="6"/>
      <c r="H151" s="7"/>
      <c r="I151" s="7"/>
      <c r="J151" s="7"/>
    </row>
    <row r="152" spans="1:10" ht="22" customHeight="1" x14ac:dyDescent="0.45">
      <c r="A152" s="3"/>
      <c r="B152" s="3"/>
      <c r="C152" s="5"/>
      <c r="D152" s="3"/>
      <c r="E152" s="3"/>
      <c r="F152" s="3"/>
      <c r="G152" s="3"/>
      <c r="H152" s="4"/>
      <c r="I152" s="4"/>
      <c r="J152" s="4"/>
    </row>
    <row r="153" spans="1:10" ht="22" customHeight="1" x14ac:dyDescent="0.45"/>
    <row r="154" spans="1:10" ht="22" customHeight="1" x14ac:dyDescent="0.45">
      <c r="A154" s="3"/>
      <c r="B154" s="3"/>
      <c r="C154" s="5"/>
      <c r="D154" s="3"/>
      <c r="E154" s="3"/>
      <c r="F154" s="3"/>
      <c r="G154" s="3"/>
      <c r="H154" s="4"/>
      <c r="I154" s="4"/>
      <c r="J154" s="4"/>
    </row>
    <row r="155" spans="1:10" ht="22" customHeight="1" x14ac:dyDescent="0.45"/>
    <row r="156" spans="1:10" ht="22" customHeight="1" x14ac:dyDescent="0.45">
      <c r="A156" s="3"/>
      <c r="B156" s="3"/>
      <c r="C156" s="5"/>
      <c r="D156" s="3"/>
      <c r="E156" s="3"/>
      <c r="F156" s="3"/>
      <c r="G156" s="3"/>
      <c r="H156" s="4"/>
      <c r="I156" s="4"/>
      <c r="J156" s="4"/>
    </row>
    <row r="157" spans="1:10" ht="22" customHeight="1" x14ac:dyDescent="0.45"/>
    <row r="158" spans="1:10" ht="22" customHeight="1" x14ac:dyDescent="0.45">
      <c r="A158" s="3"/>
      <c r="B158" s="3"/>
      <c r="C158" s="5"/>
      <c r="D158" s="3"/>
      <c r="E158" s="3"/>
      <c r="F158" s="3"/>
      <c r="G158" s="3"/>
      <c r="H158" s="4"/>
      <c r="I158" s="4"/>
      <c r="J158" s="4"/>
    </row>
    <row r="159" spans="1:10" ht="22" customHeight="1" x14ac:dyDescent="0.45"/>
    <row r="160" spans="1:10" ht="22" customHeight="1" x14ac:dyDescent="0.45">
      <c r="A160" s="3"/>
      <c r="B160" s="3"/>
      <c r="C160" s="5"/>
      <c r="D160" s="3"/>
      <c r="E160" s="3"/>
      <c r="F160" s="3"/>
      <c r="G160" s="3"/>
      <c r="H160" s="4"/>
      <c r="I160" s="4"/>
      <c r="J160" s="4"/>
    </row>
    <row r="161" spans="1:10" ht="22" customHeight="1" x14ac:dyDescent="0.45"/>
    <row r="162" spans="1:10" ht="22" customHeight="1" x14ac:dyDescent="0.45">
      <c r="A162" s="3"/>
      <c r="B162" s="3"/>
      <c r="C162" s="5"/>
      <c r="D162" s="3"/>
      <c r="E162" s="3"/>
      <c r="F162" s="3"/>
      <c r="G162" s="3"/>
      <c r="H162" s="4"/>
      <c r="I162" s="4"/>
      <c r="J162" s="4"/>
    </row>
    <row r="163" spans="1:10" ht="22" customHeight="1" x14ac:dyDescent="0.45"/>
    <row r="164" spans="1:10" ht="22" customHeight="1" x14ac:dyDescent="0.45">
      <c r="A164" s="3"/>
      <c r="B164" s="3"/>
      <c r="C164" s="5"/>
      <c r="D164" s="3"/>
      <c r="E164" s="3"/>
      <c r="F164" s="3"/>
      <c r="G164" s="3"/>
      <c r="H164" s="4"/>
      <c r="I164" s="4"/>
      <c r="J164" s="4"/>
    </row>
    <row r="165" spans="1:10" ht="22" customHeight="1" x14ac:dyDescent="0.45"/>
    <row r="166" spans="1:10" ht="22" customHeight="1" x14ac:dyDescent="0.45">
      <c r="A166" s="3"/>
      <c r="B166" s="3"/>
      <c r="C166" s="5"/>
      <c r="D166" s="3"/>
      <c r="E166" s="3"/>
      <c r="F166" s="3"/>
      <c r="G166" s="3"/>
      <c r="H166" s="4"/>
      <c r="I166" s="4"/>
      <c r="J166" s="4"/>
    </row>
    <row r="167" spans="1:10" ht="22" customHeight="1" x14ac:dyDescent="0.45"/>
    <row r="168" spans="1:10" ht="22" customHeight="1" x14ac:dyDescent="0.45">
      <c r="A168" s="3"/>
      <c r="B168" s="3"/>
      <c r="C168" s="5"/>
      <c r="D168" s="3"/>
      <c r="E168" s="3"/>
      <c r="F168" s="3"/>
      <c r="G168" s="3"/>
      <c r="H168" s="4"/>
      <c r="I168" s="4"/>
      <c r="J168" s="4"/>
    </row>
    <row r="169" spans="1:10" ht="22" customHeight="1" x14ac:dyDescent="0.45"/>
    <row r="170" spans="1:10" ht="22" customHeight="1" x14ac:dyDescent="0.45">
      <c r="A170" s="3"/>
      <c r="B170" s="3"/>
      <c r="C170" s="5"/>
      <c r="D170" s="3"/>
      <c r="E170" s="3"/>
      <c r="F170" s="3"/>
      <c r="G170" s="3"/>
      <c r="H170" s="4"/>
      <c r="I170" s="4"/>
      <c r="J170" s="4"/>
    </row>
    <row r="171" spans="1:10" ht="22" customHeight="1" x14ac:dyDescent="0.45"/>
    <row r="172" spans="1:10" ht="22" customHeight="1" x14ac:dyDescent="0.45">
      <c r="A172" s="3"/>
      <c r="B172" s="3"/>
      <c r="C172" s="5"/>
      <c r="D172" s="3"/>
      <c r="E172" s="3"/>
      <c r="F172" s="3"/>
      <c r="G172" s="3"/>
      <c r="H172" s="4"/>
      <c r="I172" s="4"/>
      <c r="J172" s="4"/>
    </row>
    <row r="173" spans="1:10" ht="22" customHeight="1" x14ac:dyDescent="0.45"/>
    <row r="174" spans="1:10" ht="22" customHeight="1" x14ac:dyDescent="0.45">
      <c r="A174" s="3"/>
      <c r="B174" s="3"/>
      <c r="C174" s="5"/>
      <c r="D174" s="3"/>
      <c r="E174" s="3"/>
      <c r="F174" s="3"/>
      <c r="G174" s="3"/>
      <c r="H174" s="4"/>
      <c r="I174" s="4"/>
      <c r="J174" s="4"/>
    </row>
    <row r="175" spans="1:10" ht="22" customHeight="1" x14ac:dyDescent="0.45"/>
    <row r="176" spans="1:10" ht="22" customHeight="1" x14ac:dyDescent="0.45">
      <c r="A176" s="3"/>
      <c r="B176" s="3"/>
      <c r="C176" s="5"/>
      <c r="D176" s="3"/>
      <c r="E176" s="3"/>
      <c r="F176" s="3"/>
      <c r="G176" s="3"/>
      <c r="H176" s="4"/>
      <c r="I176" s="4"/>
      <c r="J176" s="4"/>
    </row>
    <row r="177" spans="1:10" ht="22" customHeight="1" x14ac:dyDescent="0.45"/>
    <row r="178" spans="1:10" ht="22" customHeight="1" x14ac:dyDescent="0.45">
      <c r="A178" s="3"/>
      <c r="B178" s="3"/>
      <c r="C178" s="5"/>
      <c r="D178" s="3"/>
      <c r="E178" s="3"/>
      <c r="F178" s="3"/>
      <c r="G178" s="3"/>
      <c r="H178" s="4"/>
      <c r="I178" s="4"/>
      <c r="J178" s="4"/>
    </row>
    <row r="179" spans="1:10" ht="22" customHeight="1" x14ac:dyDescent="0.45"/>
    <row r="180" spans="1:10" ht="22" customHeight="1" x14ac:dyDescent="0.45">
      <c r="A180" s="3"/>
      <c r="B180" s="3"/>
      <c r="C180" s="5"/>
      <c r="D180" s="3"/>
      <c r="E180" s="3"/>
      <c r="F180" s="3"/>
      <c r="G180" s="3"/>
      <c r="H180" s="4"/>
      <c r="I180" s="4"/>
      <c r="J180" s="4"/>
    </row>
    <row r="181" spans="1:10" ht="22" customHeight="1" x14ac:dyDescent="0.45"/>
    <row r="182" spans="1:10" ht="22" customHeight="1" x14ac:dyDescent="0.45">
      <c r="A182" s="3"/>
      <c r="B182" s="3"/>
      <c r="C182" s="5"/>
      <c r="D182" s="3"/>
      <c r="E182" s="3"/>
      <c r="F182" s="3"/>
      <c r="G182" s="3"/>
      <c r="H182" s="4"/>
      <c r="I182" s="4"/>
      <c r="J182" s="4"/>
    </row>
    <row r="183" spans="1:10" ht="22" customHeight="1" x14ac:dyDescent="0.45"/>
    <row r="184" spans="1:10" ht="22" customHeight="1" x14ac:dyDescent="0.45">
      <c r="A184" s="3"/>
      <c r="B184" s="3"/>
      <c r="C184" s="5"/>
      <c r="D184" s="3"/>
      <c r="E184" s="3"/>
      <c r="F184" s="3"/>
      <c r="G184" s="3"/>
      <c r="H184" s="4"/>
      <c r="I184" s="4"/>
      <c r="J184" s="4"/>
    </row>
    <row r="185" spans="1:10" ht="22" customHeight="1" x14ac:dyDescent="0.45"/>
    <row r="186" spans="1:10" ht="22" customHeight="1" x14ac:dyDescent="0.45">
      <c r="A186" s="3"/>
      <c r="B186" s="3"/>
      <c r="C186" s="5"/>
      <c r="D186" s="3"/>
      <c r="E186" s="3"/>
      <c r="F186" s="3"/>
      <c r="G186" s="3"/>
      <c r="H186" s="4"/>
      <c r="I186" s="4"/>
      <c r="J186" s="4"/>
    </row>
    <row r="187" spans="1:10" ht="22" customHeight="1" x14ac:dyDescent="0.45"/>
    <row r="188" spans="1:10" ht="22" customHeight="1" x14ac:dyDescent="0.45">
      <c r="A188" s="3"/>
      <c r="B188" s="3"/>
      <c r="C188" s="5"/>
      <c r="D188" s="3"/>
      <c r="E188" s="3"/>
      <c r="F188" s="3"/>
      <c r="G188" s="3"/>
      <c r="H188" s="4"/>
      <c r="I188" s="4"/>
      <c r="J188" s="4"/>
    </row>
    <row r="189" spans="1:10" ht="22" customHeight="1" x14ac:dyDescent="0.45"/>
    <row r="190" spans="1:10" ht="22" customHeight="1" x14ac:dyDescent="0.45">
      <c r="A190" s="3"/>
      <c r="B190" s="3"/>
      <c r="C190" s="5"/>
      <c r="D190" s="3"/>
      <c r="E190" s="3"/>
      <c r="F190" s="3"/>
      <c r="G190" s="3"/>
      <c r="H190" s="4"/>
      <c r="I190" s="4"/>
      <c r="J190" s="4"/>
    </row>
    <row r="191" spans="1:10" ht="22" customHeight="1" x14ac:dyDescent="0.45"/>
    <row r="192" spans="1:10" ht="22" customHeight="1" x14ac:dyDescent="0.45">
      <c r="A192" s="3"/>
      <c r="B192" s="3"/>
      <c r="C192" s="5"/>
      <c r="D192" s="3"/>
      <c r="E192" s="3"/>
      <c r="F192" s="3"/>
      <c r="G192" s="3"/>
      <c r="H192" s="4"/>
      <c r="I192" s="4"/>
      <c r="J192" s="4"/>
    </row>
    <row r="193" spans="1:10" ht="22" customHeight="1" x14ac:dyDescent="0.45"/>
    <row r="194" spans="1:10" ht="22" customHeight="1" x14ac:dyDescent="0.45">
      <c r="A194" s="3"/>
      <c r="B194" s="3"/>
      <c r="C194" s="5"/>
      <c r="D194" s="3"/>
      <c r="E194" s="3"/>
      <c r="F194" s="3"/>
      <c r="G194" s="3"/>
      <c r="H194" s="4"/>
      <c r="I194" s="4"/>
      <c r="J194" s="4"/>
    </row>
    <row r="195" spans="1:10" ht="22" customHeight="1" x14ac:dyDescent="0.45"/>
    <row r="196" spans="1:10" ht="22" customHeight="1" x14ac:dyDescent="0.45">
      <c r="A196" s="3"/>
      <c r="B196" s="3"/>
      <c r="C196" s="5"/>
      <c r="D196" s="3"/>
      <c r="E196" s="3"/>
      <c r="F196" s="3"/>
      <c r="G196" s="3"/>
      <c r="H196" s="4"/>
      <c r="I196" s="4"/>
      <c r="J196" s="4"/>
    </row>
    <row r="197" spans="1:10" ht="22" customHeight="1" x14ac:dyDescent="0.45"/>
    <row r="198" spans="1:10" ht="22" customHeight="1" x14ac:dyDescent="0.45">
      <c r="A198" s="3"/>
      <c r="B198" s="3"/>
      <c r="C198" s="5"/>
      <c r="D198" s="3"/>
      <c r="E198" s="3"/>
      <c r="F198" s="3"/>
      <c r="G198" s="3"/>
      <c r="H198" s="4"/>
      <c r="I198" s="4"/>
      <c r="J198" s="4"/>
    </row>
    <row r="199" spans="1:10" ht="22" customHeight="1" x14ac:dyDescent="0.45"/>
    <row r="200" spans="1:10" ht="22" customHeight="1" x14ac:dyDescent="0.45">
      <c r="A200" s="3"/>
      <c r="B200" s="3"/>
      <c r="C200" s="5"/>
      <c r="D200" s="3"/>
      <c r="E200" s="3"/>
      <c r="F200" s="3"/>
      <c r="G200" s="3"/>
      <c r="H200" s="4"/>
      <c r="I200" s="4"/>
      <c r="J200" s="4"/>
    </row>
    <row r="201" spans="1:10" ht="22" customHeight="1" x14ac:dyDescent="0.45"/>
    <row r="202" spans="1:10" ht="22" customHeight="1" x14ac:dyDescent="0.45">
      <c r="A202" s="3"/>
      <c r="B202" s="3"/>
      <c r="C202" s="5"/>
      <c r="D202" s="3"/>
      <c r="E202" s="3"/>
      <c r="F202" s="3"/>
      <c r="G202" s="3"/>
      <c r="H202" s="4"/>
      <c r="I202" s="4"/>
      <c r="J202" s="4"/>
    </row>
    <row r="203" spans="1:10" ht="22" customHeight="1" x14ac:dyDescent="0.45"/>
    <row r="204" spans="1:10" ht="22" customHeight="1" x14ac:dyDescent="0.45">
      <c r="A204" s="3"/>
      <c r="B204" s="3"/>
      <c r="C204" s="5"/>
      <c r="D204" s="3"/>
      <c r="E204" s="3"/>
      <c r="F204" s="3"/>
      <c r="G204" s="3"/>
      <c r="H204" s="4"/>
      <c r="I204" s="4"/>
      <c r="J204" s="4"/>
    </row>
    <row r="205" spans="1:10" ht="22" customHeight="1" x14ac:dyDescent="0.45"/>
    <row r="206" spans="1:10" ht="22" customHeight="1" x14ac:dyDescent="0.45">
      <c r="A206" s="3"/>
      <c r="B206" s="3"/>
      <c r="C206" s="5"/>
      <c r="D206" s="3"/>
      <c r="E206" s="3"/>
      <c r="F206" s="3"/>
      <c r="G206" s="3"/>
      <c r="H206" s="4"/>
      <c r="I206" s="4"/>
      <c r="J206" s="4"/>
    </row>
    <row r="207" spans="1:10" ht="22" customHeight="1" x14ac:dyDescent="0.45"/>
    <row r="208" spans="1:10" ht="22" customHeight="1" x14ac:dyDescent="0.45">
      <c r="A208" s="3"/>
      <c r="B208" s="3"/>
      <c r="C208" s="5"/>
      <c r="D208" s="3"/>
      <c r="E208" s="3"/>
      <c r="F208" s="3"/>
      <c r="G208" s="3"/>
      <c r="H208" s="4"/>
      <c r="I208" s="4"/>
      <c r="J208" s="4"/>
    </row>
    <row r="209" spans="1:10" ht="22" customHeight="1" x14ac:dyDescent="0.45"/>
    <row r="210" spans="1:10" ht="22" customHeight="1" x14ac:dyDescent="0.45">
      <c r="A210" s="3"/>
      <c r="B210" s="3"/>
      <c r="C210" s="5"/>
      <c r="D210" s="3"/>
      <c r="E210" s="3"/>
      <c r="F210" s="3"/>
      <c r="G210" s="3"/>
      <c r="H210" s="4"/>
      <c r="I210" s="4"/>
      <c r="J210" s="4"/>
    </row>
    <row r="211" spans="1:10" ht="22" customHeight="1" x14ac:dyDescent="0.45"/>
    <row r="212" spans="1:10" ht="22" customHeight="1" x14ac:dyDescent="0.45">
      <c r="A212" s="3"/>
      <c r="B212" s="3"/>
      <c r="C212" s="5"/>
      <c r="D212" s="3"/>
      <c r="E212" s="3"/>
      <c r="F212" s="3"/>
      <c r="G212" s="3"/>
      <c r="H212" s="4"/>
      <c r="I212" s="4"/>
      <c r="J212" s="4"/>
    </row>
    <row r="213" spans="1:10" ht="22" customHeight="1" x14ac:dyDescent="0.45"/>
    <row r="214" spans="1:10" ht="22" customHeight="1" x14ac:dyDescent="0.45">
      <c r="A214" s="3"/>
      <c r="B214" s="3"/>
      <c r="C214" s="5"/>
      <c r="D214" s="3"/>
      <c r="E214" s="3"/>
      <c r="F214" s="3"/>
      <c r="G214" s="3"/>
      <c r="H214" s="4"/>
      <c r="I214" s="4"/>
      <c r="J214" s="4"/>
    </row>
    <row r="215" spans="1:10" ht="22" customHeight="1" x14ac:dyDescent="0.45"/>
    <row r="216" spans="1:10" ht="22" customHeight="1" x14ac:dyDescent="0.45">
      <c r="A216" s="3"/>
      <c r="B216" s="3"/>
      <c r="C216" s="5"/>
      <c r="D216" s="3"/>
      <c r="E216" s="3"/>
      <c r="F216" s="3"/>
      <c r="G216" s="3"/>
      <c r="H216" s="4"/>
      <c r="I216" s="4"/>
      <c r="J216" s="4"/>
    </row>
    <row r="217" spans="1:10" ht="22" customHeight="1" x14ac:dyDescent="0.45"/>
    <row r="218" spans="1:10" ht="22" customHeight="1" x14ac:dyDescent="0.45">
      <c r="A218" s="3"/>
      <c r="B218" s="3"/>
      <c r="C218" s="5"/>
      <c r="D218" s="3"/>
      <c r="E218" s="3"/>
      <c r="F218" s="3"/>
      <c r="G218" s="3"/>
      <c r="H218" s="4"/>
      <c r="I218" s="4"/>
      <c r="J218" s="4"/>
    </row>
    <row r="219" spans="1:10" ht="22" customHeight="1" x14ac:dyDescent="0.45"/>
    <row r="220" spans="1:10" ht="22" customHeight="1" x14ac:dyDescent="0.45">
      <c r="A220" s="3"/>
      <c r="B220" s="3"/>
      <c r="C220" s="5"/>
      <c r="D220" s="3"/>
      <c r="E220" s="3"/>
      <c r="F220" s="3"/>
      <c r="G220" s="3"/>
      <c r="H220" s="4"/>
      <c r="I220" s="4"/>
      <c r="J220" s="4"/>
    </row>
    <row r="221" spans="1:10" ht="22" customHeight="1" x14ac:dyDescent="0.45"/>
    <row r="222" spans="1:10" ht="22" customHeight="1" x14ac:dyDescent="0.45">
      <c r="A222" s="3"/>
      <c r="B222" s="3"/>
      <c r="C222" s="5"/>
      <c r="D222" s="3"/>
      <c r="E222" s="3"/>
      <c r="F222" s="3"/>
      <c r="G222" s="3"/>
      <c r="H222" s="4"/>
      <c r="I222" s="4"/>
      <c r="J222" s="4"/>
    </row>
    <row r="223" spans="1:10" ht="22" customHeight="1" x14ac:dyDescent="0.45"/>
    <row r="224" spans="1:10" ht="22" customHeight="1" x14ac:dyDescent="0.45">
      <c r="A224" s="3"/>
      <c r="B224" s="3"/>
      <c r="C224" s="5"/>
      <c r="D224" s="3"/>
      <c r="E224" s="3"/>
      <c r="F224" s="3"/>
      <c r="G224" s="3"/>
      <c r="H224" s="4"/>
      <c r="I224" s="4"/>
      <c r="J224" s="4"/>
    </row>
    <row r="225" spans="1:10" ht="22" customHeight="1" x14ac:dyDescent="0.45"/>
    <row r="226" spans="1:10" ht="22" customHeight="1" x14ac:dyDescent="0.45">
      <c r="A226" s="3"/>
      <c r="B226" s="3"/>
      <c r="C226" s="5"/>
      <c r="D226" s="3"/>
      <c r="E226" s="3"/>
      <c r="F226" s="3"/>
      <c r="G226" s="3"/>
      <c r="H226" s="4"/>
      <c r="I226" s="4"/>
      <c r="J226" s="4"/>
    </row>
    <row r="227" spans="1:10" ht="22" customHeight="1" x14ac:dyDescent="0.45"/>
    <row r="228" spans="1:10" ht="22" customHeight="1" x14ac:dyDescent="0.45">
      <c r="A228" s="3"/>
      <c r="B228" s="3"/>
      <c r="C228" s="5"/>
      <c r="D228" s="3"/>
      <c r="E228" s="3"/>
      <c r="F228" s="3"/>
      <c r="G228" s="3"/>
      <c r="H228" s="4"/>
      <c r="I228" s="4"/>
      <c r="J228" s="4"/>
    </row>
    <row r="229" spans="1:10" ht="22" customHeight="1" x14ac:dyDescent="0.45"/>
    <row r="230" spans="1:10" ht="22" customHeight="1" x14ac:dyDescent="0.45">
      <c r="A230" s="3"/>
      <c r="B230" s="3"/>
      <c r="C230" s="5"/>
      <c r="D230" s="3"/>
      <c r="E230" s="3"/>
      <c r="F230" s="3"/>
      <c r="G230" s="3"/>
      <c r="H230" s="4"/>
      <c r="I230" s="4"/>
      <c r="J230" s="4"/>
    </row>
    <row r="231" spans="1:10" ht="22" customHeight="1" x14ac:dyDescent="0.45"/>
    <row r="232" spans="1:10" ht="22" customHeight="1" x14ac:dyDescent="0.45">
      <c r="A232" s="3"/>
      <c r="B232" s="3"/>
      <c r="C232" s="5"/>
      <c r="D232" s="3"/>
      <c r="E232" s="3"/>
      <c r="F232" s="3"/>
      <c r="G232" s="3"/>
      <c r="H232" s="4"/>
      <c r="I232" s="4"/>
      <c r="J232" s="4"/>
    </row>
    <row r="233" spans="1:10" ht="22" customHeight="1" x14ac:dyDescent="0.45"/>
    <row r="234" spans="1:10" ht="22" customHeight="1" x14ac:dyDescent="0.45">
      <c r="A234" s="3"/>
      <c r="B234" s="3"/>
      <c r="C234" s="5"/>
      <c r="D234" s="3"/>
      <c r="E234" s="3"/>
      <c r="F234" s="3"/>
      <c r="G234" s="3"/>
      <c r="H234" s="4"/>
      <c r="I234" s="4"/>
      <c r="J234" s="4"/>
    </row>
    <row r="235" spans="1:10" ht="22" customHeight="1" x14ac:dyDescent="0.45"/>
    <row r="236" spans="1:10" ht="22" customHeight="1" x14ac:dyDescent="0.45">
      <c r="A236" s="3"/>
      <c r="B236" s="3"/>
      <c r="C236" s="5"/>
      <c r="D236" s="3"/>
      <c r="E236" s="3"/>
      <c r="F236" s="3"/>
      <c r="G236" s="3"/>
      <c r="H236" s="4"/>
      <c r="I236" s="4"/>
      <c r="J236" s="4"/>
    </row>
    <row r="237" spans="1:10" ht="22" customHeight="1" x14ac:dyDescent="0.45"/>
    <row r="238" spans="1:10" ht="22" customHeight="1" x14ac:dyDescent="0.45">
      <c r="A238" s="3"/>
      <c r="B238" s="3"/>
      <c r="C238" s="5"/>
      <c r="D238" s="3"/>
      <c r="E238" s="3"/>
      <c r="F238" s="3"/>
      <c r="G238" s="3"/>
      <c r="H238" s="4"/>
      <c r="I238" s="4"/>
      <c r="J238" s="4"/>
    </row>
    <row r="239" spans="1:10" ht="22" customHeight="1" x14ac:dyDescent="0.45"/>
    <row r="240" spans="1:10" ht="22" customHeight="1" x14ac:dyDescent="0.45">
      <c r="A240" s="3"/>
      <c r="B240" s="3"/>
      <c r="C240" s="5"/>
      <c r="D240" s="3"/>
      <c r="E240" s="3"/>
      <c r="F240" s="3"/>
      <c r="G240" s="3"/>
      <c r="H240" s="4"/>
      <c r="I240" s="4"/>
      <c r="J240" s="4"/>
    </row>
    <row r="241" spans="1:10" ht="22" customHeight="1" x14ac:dyDescent="0.45"/>
    <row r="242" spans="1:10" ht="22" customHeight="1" x14ac:dyDescent="0.45">
      <c r="A242" s="3"/>
      <c r="B242" s="3"/>
      <c r="C242" s="5"/>
      <c r="D242" s="3"/>
      <c r="E242" s="3"/>
      <c r="F242" s="3"/>
      <c r="G242" s="3"/>
      <c r="H242" s="4"/>
      <c r="I242" s="4"/>
      <c r="J242" s="4"/>
    </row>
    <row r="243" spans="1:10" ht="22" customHeight="1" x14ac:dyDescent="0.45"/>
    <row r="244" spans="1:10" ht="22" customHeight="1" x14ac:dyDescent="0.45">
      <c r="A244" s="3"/>
      <c r="B244" s="3"/>
      <c r="C244" s="5"/>
      <c r="D244" s="3"/>
      <c r="E244" s="3"/>
      <c r="F244" s="3"/>
      <c r="G244" s="3"/>
      <c r="H244" s="4"/>
      <c r="I244" s="4"/>
      <c r="J244" s="4"/>
    </row>
    <row r="245" spans="1:10" ht="22" customHeight="1" x14ac:dyDescent="0.45"/>
    <row r="246" spans="1:10" ht="22" customHeight="1" x14ac:dyDescent="0.45">
      <c r="A246" s="3"/>
      <c r="B246" s="3"/>
      <c r="C246" s="5"/>
      <c r="D246" s="3"/>
      <c r="E246" s="3"/>
      <c r="F246" s="3"/>
      <c r="G246" s="3"/>
      <c r="H246" s="4"/>
      <c r="I246" s="4"/>
      <c r="J246" s="4"/>
    </row>
    <row r="247" spans="1:10" ht="22" customHeight="1" x14ac:dyDescent="0.45"/>
    <row r="248" spans="1:10" ht="22" customHeight="1" x14ac:dyDescent="0.45">
      <c r="A248" s="3"/>
      <c r="B248" s="3"/>
      <c r="C248" s="5"/>
      <c r="D248" s="3"/>
      <c r="E248" s="3"/>
      <c r="F248" s="3"/>
      <c r="G248" s="3"/>
      <c r="H248" s="4"/>
      <c r="I248" s="4"/>
      <c r="J248" s="4"/>
    </row>
    <row r="249" spans="1:10" ht="22" customHeight="1" x14ac:dyDescent="0.45"/>
    <row r="250" spans="1:10" ht="22" customHeight="1" x14ac:dyDescent="0.45">
      <c r="A250" s="3"/>
      <c r="B250" s="3"/>
      <c r="C250" s="5"/>
      <c r="D250" s="3"/>
      <c r="E250" s="3"/>
      <c r="F250" s="3"/>
      <c r="G250" s="3"/>
      <c r="H250" s="4"/>
      <c r="I250" s="4"/>
      <c r="J250" s="4"/>
    </row>
    <row r="251" spans="1:10" ht="22" customHeight="1" x14ac:dyDescent="0.45"/>
    <row r="252" spans="1:10" ht="22" customHeight="1" x14ac:dyDescent="0.45">
      <c r="A252" s="3"/>
      <c r="B252" s="3"/>
      <c r="C252" s="5"/>
      <c r="D252" s="3"/>
      <c r="E252" s="3"/>
      <c r="F252" s="3"/>
      <c r="G252" s="3"/>
      <c r="H252" s="4"/>
      <c r="I252" s="4"/>
      <c r="J252" s="4"/>
    </row>
    <row r="253" spans="1:10" ht="22" customHeight="1" x14ac:dyDescent="0.45"/>
    <row r="254" spans="1:10" ht="22" customHeight="1" x14ac:dyDescent="0.45">
      <c r="A254" s="3"/>
      <c r="B254" s="3"/>
      <c r="C254" s="5"/>
      <c r="D254" s="3"/>
      <c r="E254" s="3"/>
      <c r="F254" s="3"/>
      <c r="G254" s="3"/>
      <c r="H254" s="4"/>
      <c r="I254" s="4"/>
      <c r="J254" s="4"/>
    </row>
    <row r="255" spans="1:10" ht="22" customHeight="1" x14ac:dyDescent="0.45"/>
    <row r="256" spans="1:10" ht="22" customHeight="1" x14ac:dyDescent="0.45">
      <c r="A256" s="3"/>
      <c r="B256" s="3"/>
      <c r="C256" s="5"/>
      <c r="D256" s="3"/>
      <c r="E256" s="3"/>
      <c r="F256" s="3"/>
      <c r="G256" s="3"/>
      <c r="H256" s="4"/>
      <c r="I256" s="4"/>
      <c r="J256" s="4"/>
    </row>
    <row r="257" spans="1:10" ht="22" customHeight="1" x14ac:dyDescent="0.45"/>
    <row r="258" spans="1:10" ht="22" customHeight="1" x14ac:dyDescent="0.45">
      <c r="A258" s="3"/>
      <c r="B258" s="3"/>
      <c r="C258" s="5"/>
      <c r="D258" s="3"/>
      <c r="E258" s="3"/>
      <c r="F258" s="3"/>
      <c r="G258" s="3"/>
      <c r="H258" s="4"/>
      <c r="I258" s="4"/>
      <c r="J258" s="4"/>
    </row>
    <row r="259" spans="1:10" ht="22" customHeight="1" x14ac:dyDescent="0.45"/>
    <row r="260" spans="1:10" ht="22" customHeight="1" x14ac:dyDescent="0.45">
      <c r="A260" s="3"/>
      <c r="B260" s="3"/>
      <c r="C260" s="5"/>
      <c r="D260" s="3"/>
      <c r="E260" s="3"/>
      <c r="F260" s="3"/>
      <c r="G260" s="3"/>
      <c r="H260" s="4"/>
      <c r="I260" s="4"/>
      <c r="J260" s="4"/>
    </row>
    <row r="261" spans="1:10" ht="22" customHeight="1" x14ac:dyDescent="0.45"/>
    <row r="262" spans="1:10" ht="22" customHeight="1" x14ac:dyDescent="0.45">
      <c r="A262" s="3"/>
      <c r="B262" s="3"/>
      <c r="C262" s="5"/>
      <c r="D262" s="3"/>
      <c r="E262" s="3"/>
      <c r="F262" s="3"/>
      <c r="G262" s="3"/>
      <c r="H262" s="4"/>
      <c r="I262" s="4"/>
      <c r="J262" s="4"/>
    </row>
    <row r="263" spans="1:10" ht="22" customHeight="1" x14ac:dyDescent="0.45"/>
    <row r="264" spans="1:10" ht="22" customHeight="1" x14ac:dyDescent="0.45">
      <c r="A264" s="3"/>
      <c r="B264" s="3"/>
      <c r="C264" s="5"/>
      <c r="D264" s="3"/>
      <c r="E264" s="3"/>
      <c r="F264" s="3"/>
      <c r="G264" s="3"/>
      <c r="H264" s="4"/>
      <c r="I264" s="4"/>
      <c r="J264" s="4"/>
    </row>
    <row r="265" spans="1:10" ht="22" customHeight="1" x14ac:dyDescent="0.45"/>
    <row r="266" spans="1:10" ht="22" customHeight="1" x14ac:dyDescent="0.45">
      <c r="A266" s="3"/>
      <c r="B266" s="3"/>
      <c r="C266" s="5"/>
      <c r="D266" s="3"/>
      <c r="E266" s="3"/>
      <c r="F266" s="3"/>
      <c r="G266" s="3"/>
      <c r="H266" s="4"/>
      <c r="I266" s="4"/>
      <c r="J266" s="4"/>
    </row>
    <row r="267" spans="1:10" ht="22" customHeight="1" x14ac:dyDescent="0.45"/>
    <row r="268" spans="1:10" ht="22" customHeight="1" x14ac:dyDescent="0.45">
      <c r="A268" s="3"/>
      <c r="B268" s="3"/>
      <c r="C268" s="5"/>
      <c r="D268" s="3"/>
      <c r="E268" s="3"/>
      <c r="F268" s="3"/>
      <c r="G268" s="3"/>
      <c r="H268" s="4"/>
      <c r="I268" s="4"/>
      <c r="J268" s="4"/>
    </row>
    <row r="269" spans="1:10" ht="22" customHeight="1" x14ac:dyDescent="0.45"/>
    <row r="270" spans="1:10" ht="22" customHeight="1" x14ac:dyDescent="0.45">
      <c r="A270" s="3"/>
      <c r="B270" s="3"/>
      <c r="C270" s="5"/>
      <c r="D270" s="3"/>
      <c r="E270" s="3"/>
      <c r="F270" s="3"/>
      <c r="G270" s="3"/>
      <c r="H270" s="4"/>
      <c r="I270" s="4"/>
      <c r="J270" s="4"/>
    </row>
    <row r="271" spans="1:10" ht="22" customHeight="1" x14ac:dyDescent="0.45"/>
    <row r="272" spans="1:10" ht="22" customHeight="1" x14ac:dyDescent="0.45">
      <c r="A272" s="3"/>
      <c r="B272" s="3"/>
      <c r="C272" s="5"/>
      <c r="D272" s="3"/>
      <c r="E272" s="3"/>
      <c r="F272" s="3"/>
      <c r="G272" s="3"/>
      <c r="H272" s="4"/>
      <c r="I272" s="4"/>
      <c r="J272" s="4"/>
    </row>
    <row r="273" spans="1:10" ht="22" customHeight="1" x14ac:dyDescent="0.45"/>
    <row r="274" spans="1:10" ht="22" customHeight="1" x14ac:dyDescent="0.45">
      <c r="A274" s="3"/>
      <c r="B274" s="3"/>
      <c r="C274" s="5"/>
      <c r="D274" s="3"/>
      <c r="E274" s="3"/>
      <c r="F274" s="3"/>
      <c r="G274" s="3"/>
      <c r="H274" s="4"/>
      <c r="I274" s="4"/>
      <c r="J274" s="4"/>
    </row>
    <row r="275" spans="1:10" ht="22" customHeight="1" x14ac:dyDescent="0.45"/>
    <row r="276" spans="1:10" ht="22" customHeight="1" x14ac:dyDescent="0.45">
      <c r="A276" s="3"/>
      <c r="B276" s="3"/>
      <c r="C276" s="5"/>
      <c r="D276" s="3"/>
      <c r="E276" s="3"/>
      <c r="F276" s="3"/>
      <c r="G276" s="3"/>
      <c r="H276" s="4"/>
      <c r="I276" s="4"/>
      <c r="J276" s="4"/>
    </row>
    <row r="277" spans="1:10" ht="22" customHeight="1" x14ac:dyDescent="0.45"/>
    <row r="278" spans="1:10" ht="22" customHeight="1" x14ac:dyDescent="0.45">
      <c r="A278" s="3"/>
      <c r="B278" s="3"/>
      <c r="C278" s="5"/>
      <c r="D278" s="3"/>
      <c r="E278" s="3"/>
      <c r="F278" s="3"/>
      <c r="G278" s="3"/>
      <c r="H278" s="4"/>
      <c r="I278" s="4"/>
      <c r="J278" s="4"/>
    </row>
    <row r="279" spans="1:10" ht="22" customHeight="1" x14ac:dyDescent="0.45"/>
    <row r="280" spans="1:10" ht="22" customHeight="1" x14ac:dyDescent="0.45">
      <c r="A280" s="3"/>
      <c r="B280" s="3"/>
      <c r="C280" s="5"/>
      <c r="D280" s="3"/>
      <c r="E280" s="3"/>
      <c r="F280" s="3"/>
      <c r="G280" s="3"/>
      <c r="H280" s="4"/>
      <c r="I280" s="4"/>
      <c r="J280" s="4"/>
    </row>
    <row r="281" spans="1:10" ht="22" customHeight="1" x14ac:dyDescent="0.45"/>
    <row r="282" spans="1:10" ht="22" customHeight="1" x14ac:dyDescent="0.45">
      <c r="A282" s="3"/>
      <c r="B282" s="3"/>
      <c r="C282" s="5"/>
      <c r="D282" s="3"/>
      <c r="E282" s="3"/>
      <c r="F282" s="3"/>
      <c r="G282" s="3"/>
      <c r="H282" s="4"/>
      <c r="I282" s="4"/>
      <c r="J282" s="4"/>
    </row>
    <row r="283" spans="1:10" ht="22" customHeight="1" x14ac:dyDescent="0.45"/>
    <row r="284" spans="1:10" ht="22" customHeight="1" x14ac:dyDescent="0.45">
      <c r="A284" s="3"/>
      <c r="B284" s="3"/>
      <c r="C284" s="5"/>
      <c r="D284" s="3"/>
      <c r="E284" s="3"/>
      <c r="F284" s="3"/>
      <c r="G284" s="3"/>
      <c r="H284" s="4"/>
      <c r="I284" s="4"/>
      <c r="J284" s="4"/>
    </row>
    <row r="285" spans="1:10" ht="22" customHeight="1" x14ac:dyDescent="0.45"/>
    <row r="286" spans="1:10" ht="22" customHeight="1" x14ac:dyDescent="0.45">
      <c r="A286" s="3"/>
      <c r="B286" s="3"/>
      <c r="C286" s="5"/>
      <c r="D286" s="3"/>
      <c r="E286" s="3"/>
      <c r="F286" s="3"/>
      <c r="G286" s="3"/>
      <c r="H286" s="4"/>
      <c r="I286" s="4"/>
      <c r="J286" s="4"/>
    </row>
    <row r="287" spans="1:10" ht="22" customHeight="1" x14ac:dyDescent="0.45"/>
    <row r="288" spans="1:10" ht="22" customHeight="1" x14ac:dyDescent="0.45">
      <c r="A288" s="3"/>
      <c r="B288" s="3"/>
      <c r="C288" s="5"/>
      <c r="D288" s="3"/>
      <c r="E288" s="3"/>
      <c r="F288" s="3"/>
      <c r="G288" s="3"/>
      <c r="H288" s="4"/>
      <c r="I288" s="4"/>
      <c r="J288" s="4"/>
    </row>
    <row r="289" spans="1:10" ht="22" customHeight="1" x14ac:dyDescent="0.45"/>
    <row r="290" spans="1:10" ht="22" customHeight="1" x14ac:dyDescent="0.45">
      <c r="A290" s="3"/>
      <c r="B290" s="3"/>
      <c r="C290" s="5"/>
      <c r="D290" s="3"/>
      <c r="E290" s="3"/>
      <c r="F290" s="3"/>
      <c r="G290" s="3"/>
      <c r="H290" s="4"/>
      <c r="I290" s="4"/>
      <c r="J290" s="4"/>
    </row>
    <row r="291" spans="1:10" ht="22" customHeight="1" x14ac:dyDescent="0.45"/>
    <row r="292" spans="1:10" ht="22" customHeight="1" x14ac:dyDescent="0.45">
      <c r="A292" s="3"/>
      <c r="B292" s="3"/>
      <c r="C292" s="5"/>
      <c r="D292" s="3"/>
      <c r="E292" s="3"/>
      <c r="F292" s="3"/>
      <c r="G292" s="3"/>
      <c r="H292" s="4"/>
      <c r="I292" s="4"/>
      <c r="J292" s="4"/>
    </row>
    <row r="293" spans="1:10" ht="22" customHeight="1" x14ac:dyDescent="0.45"/>
    <row r="294" spans="1:10" ht="22" customHeight="1" x14ac:dyDescent="0.45">
      <c r="A294" s="3"/>
      <c r="B294" s="3"/>
      <c r="C294" s="5"/>
      <c r="D294" s="3"/>
      <c r="E294" s="3"/>
      <c r="F294" s="3"/>
      <c r="G294" s="3"/>
      <c r="H294" s="4"/>
      <c r="I294" s="4"/>
      <c r="J294" s="4"/>
    </row>
    <row r="295" spans="1:10" ht="22" customHeight="1" x14ac:dyDescent="0.45"/>
    <row r="296" spans="1:10" ht="22" customHeight="1" x14ac:dyDescent="0.45">
      <c r="A296" s="3"/>
      <c r="B296" s="3"/>
      <c r="C296" s="5"/>
      <c r="D296" s="3"/>
      <c r="E296" s="3"/>
      <c r="F296" s="3"/>
      <c r="G296" s="3"/>
      <c r="H296" s="4"/>
      <c r="I296" s="4"/>
      <c r="J296" s="4"/>
    </row>
    <row r="297" spans="1:10" ht="22" customHeight="1" x14ac:dyDescent="0.45"/>
    <row r="298" spans="1:10" ht="22" customHeight="1" x14ac:dyDescent="0.45">
      <c r="A298" s="3"/>
      <c r="B298" s="3"/>
      <c r="C298" s="5"/>
      <c r="D298" s="3"/>
      <c r="E298" s="3"/>
      <c r="F298" s="3"/>
      <c r="G298" s="3"/>
      <c r="H298" s="4"/>
      <c r="I298" s="4"/>
      <c r="J298" s="4"/>
    </row>
    <row r="299" spans="1:10" ht="22" customHeight="1" x14ac:dyDescent="0.45"/>
    <row r="300" spans="1:10" ht="22" customHeight="1" x14ac:dyDescent="0.45">
      <c r="A300" s="3"/>
      <c r="B300" s="3"/>
      <c r="C300" s="5"/>
      <c r="D300" s="3"/>
      <c r="E300" s="3"/>
      <c r="F300" s="3"/>
      <c r="G300" s="3"/>
      <c r="H300" s="4"/>
      <c r="I300" s="4"/>
      <c r="J300" s="4"/>
    </row>
  </sheetData>
  <autoFilter ref="A7:J150" xr:uid="{92898476-E68C-47D1-A054-58CEC6166C80}"/>
  <mergeCells count="12">
    <mergeCell ref="I4:J4"/>
    <mergeCell ref="I5:J5"/>
    <mergeCell ref="L20:M20"/>
    <mergeCell ref="A4:B4"/>
    <mergeCell ref="A5:B5"/>
    <mergeCell ref="C4:D4"/>
    <mergeCell ref="C5:D5"/>
    <mergeCell ref="E4:F4"/>
    <mergeCell ref="E5:F5"/>
    <mergeCell ref="G4:H4"/>
    <mergeCell ref="G5:H5"/>
    <mergeCell ref="A1:J3"/>
  </mergeCells>
  <phoneticPr fontId="1" type="noConversion"/>
  <dataValidations count="4">
    <dataValidation type="list" allowBlank="1" showInputMessage="1" showErrorMessage="1" sqref="B8:B150" xr:uid="{487DFBB6-BAAD-4378-8768-38E00745FB5F}">
      <formula1>"전력외 통보,현역 은퇴,자유계약,퇴단"</formula1>
    </dataValidation>
    <dataValidation type="list" allowBlank="1" showInputMessage="1" showErrorMessage="1" sqref="E8:E150" xr:uid="{1CF19BC7-BB68-436F-AF92-4A9C7B5F325F}">
      <formula1>"요미우리,야쿠르트,DeNA,주니치,한신,히로시마,닛폰햄,라쿠텐,세이부,지바롯데,오릭스,소프트뱅크"</formula1>
    </dataValidation>
    <dataValidation type="list" allowBlank="1" showInputMessage="1" showErrorMessage="1" sqref="G8:G150" xr:uid="{298F74A3-6CE3-4923-ABE7-46ABC2B7EB74}">
      <formula1>"투수,포수,내야수,외야수"</formula1>
    </dataValidation>
    <dataValidation type="list" allowBlank="1" showInputMessage="1" showErrorMessage="1" sqref="F8:F150 G8" xr:uid="{258382E6-9869-47D7-8B1A-9E22D357E25F}">
      <formula1>"지배하,육성(※)"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명단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</dc:creator>
  <cp:lastModifiedBy>ham</cp:lastModifiedBy>
  <dcterms:created xsi:type="dcterms:W3CDTF">2026-10-29T05:06:47Z</dcterms:created>
  <dcterms:modified xsi:type="dcterms:W3CDTF">2026-10-29T05:36:31Z</dcterms:modified>
</cp:coreProperties>
</file>